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nimbusnepal-my.sharepoint.com/personal/sap_support_nimbusnepal_com/Documents/Desktop/CAFcsv/"/>
    </mc:Choice>
  </mc:AlternateContent>
  <xr:revisionPtr revIDLastSave="27" documentId="8_{669D2972-34D9-4465-BC62-7C7F2CBD3176}" xr6:coauthVersionLast="47" xr6:coauthVersionMax="47" xr10:uidLastSave="{EB3A6B2C-E10D-4715-BD3F-BBCE4E95C681}"/>
  <bookViews>
    <workbookView xWindow="-120" yWindow="-120" windowWidth="20730" windowHeight="11040" activeTab="2" xr2:uid="{00000000-000D-0000-FFFF-FFFF00000000}"/>
  </bookViews>
  <sheets>
    <sheet name="KPI" sheetId="7" r:id="rId1"/>
    <sheet name="rating" sheetId="9" r:id="rId2"/>
    <sheet name="General" sheetId="10" r:id="rId3"/>
    <sheet name="Education by attrition" sheetId="11" r:id="rId4"/>
    <sheet name="att by job roles" sheetId="12" r:id="rId5"/>
    <sheet name="Department wise attrition" sheetId="13" r:id="rId6"/>
    <sheet name="Attrition by age group" sheetId="14" r:id="rId7"/>
    <sheet name="marital status" sheetId="15" r:id="rId8"/>
    <sheet name="Data" sheetId="1" r:id="rId9"/>
    <sheet name="Dashboard" sheetId="8" r:id="rId10"/>
    <sheet name="Images" sheetId="2" r:id="rId11"/>
    <sheet name="Background" sheetId="4" r:id="rId12"/>
  </sheets>
  <definedNames>
    <definedName name="_xlchart.v1.0" hidden="1">'att by job roles'!$D$4:$D$12</definedName>
    <definedName name="_xlchart.v1.1" hidden="1">'att by job roles'!$E$4:$E$12</definedName>
    <definedName name="_xlchart.v1.6" hidden="1">'att by job roles'!$D$4:$D$12</definedName>
    <definedName name="_xlchart.v1.7" hidden="1">'att by job roles'!$E$4:$E$12</definedName>
    <definedName name="_xlchart.v2.2" hidden="1">'marital status'!$D$4:$D$6</definedName>
    <definedName name="_xlchart.v2.3" hidden="1">'marital status'!$E$4:$E$6</definedName>
    <definedName name="_xlchart.v2.4" hidden="1">'marital status'!$D$4:$D$6</definedName>
    <definedName name="_xlchart.v2.5" hidden="1">'marital status'!$E$4:$E$6</definedName>
    <definedName name="Slicer_Department">#N/A</definedName>
    <definedName name="Slicer_Education_Field1">#N/A</definedName>
    <definedName name="Slicer_Gender2">#N/A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0W7NtiAel2xy0cZdwUBcRsMoEuXg6pzXui43o1bypBA="/>
    </ext>
  </extLst>
</workbook>
</file>

<file path=xl/calcChain.xml><?xml version="1.0" encoding="utf-8"?>
<calcChain xmlns="http://schemas.openxmlformats.org/spreadsheetml/2006/main">
  <c r="D6" i="15" l="1"/>
  <c r="D5" i="15"/>
  <c r="D4" i="15"/>
  <c r="D5" i="12"/>
  <c r="D6" i="12"/>
  <c r="D7" i="12"/>
  <c r="D8" i="12"/>
  <c r="D9" i="12"/>
  <c r="D10" i="12"/>
  <c r="D11" i="12"/>
  <c r="D12" i="12"/>
  <c r="D4" i="12"/>
  <c r="B7" i="7"/>
  <c r="B9" i="10"/>
  <c r="E8" i="12"/>
  <c r="A7" i="7"/>
  <c r="E7" i="12"/>
  <c r="E6" i="15"/>
  <c r="E12" i="12"/>
  <c r="E4" i="12"/>
  <c r="C7" i="7"/>
  <c r="E11" i="12"/>
  <c r="E6" i="12"/>
  <c r="E4" i="15"/>
  <c r="B8" i="10"/>
  <c r="B6" i="9"/>
  <c r="E5" i="12"/>
  <c r="E5" i="15"/>
  <c r="E9" i="12"/>
  <c r="E10" i="12"/>
  <c r="C8" i="10" l="1"/>
  <c r="C9" i="10"/>
  <c r="C6" i="9"/>
  <c r="B7" i="9"/>
  <c r="C7" i="9" s="1"/>
  <c r="F7" i="7"/>
  <c r="D7" i="7"/>
</calcChain>
</file>

<file path=xl/sharedStrings.xml><?xml version="1.0" encoding="utf-8"?>
<sst xmlns="http://schemas.openxmlformats.org/spreadsheetml/2006/main" count="19219" uniqueCount="1574">
  <si>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</si>
  <si>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</si>
  <si>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</si>
  <si>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</si>
  <si>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</si>
  <si>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</si>
  <si>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</si>
  <si>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</si>
  <si>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</si>
  <si>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</si>
  <si>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</si>
  <si>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</si>
  <si>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</si>
  <si>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</si>
  <si>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</si>
  <si>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</si>
  <si>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</si>
  <si>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</si>
  <si>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</si>
  <si>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</si>
  <si>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</si>
  <si>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</si>
  <si>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</si>
  <si>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</si>
  <si>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</si>
  <si>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</si>
  <si>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</si>
  <si>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</si>
  <si>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</si>
  <si>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</si>
  <si>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</si>
  <si>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</si>
  <si>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</si>
  <si>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</si>
  <si>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</si>
  <si>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</si>
  <si>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</si>
  <si>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</si>
  <si>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</si>
  <si>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</si>
  <si>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</si>
  <si>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</si>
  <si>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</si>
  <si>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</si>
  <si>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</si>
  <si>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</si>
  <si>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</si>
  <si>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</si>
  <si>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</si>
  <si>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</si>
  <si>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</si>
  <si>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</si>
  <si>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</si>
  <si>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</si>
  <si>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</si>
  <si>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</si>
  <si>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</si>
  <si>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</si>
  <si>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</si>
  <si>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</si>
  <si>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</si>
  <si>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</si>
  <si>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</si>
  <si>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</si>
  <si>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</si>
  <si>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</si>
  <si>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</si>
  <si>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</si>
  <si>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</si>
  <si>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</si>
  <si>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</si>
  <si>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</si>
  <si>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</si>
  <si>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</si>
  <si>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</si>
  <si>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</si>
  <si>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</si>
  <si>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</si>
  <si>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</si>
  <si>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</si>
  <si>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</si>
  <si>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</si>
  <si>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</si>
  <si>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</si>
  <si>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</si>
  <si>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</si>
  <si>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</si>
  <si>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</si>
  <si>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</si>
  <si>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</si>
  <si>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</si>
  <si>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</si>
  <si>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</si>
  <si>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</si>
  <si>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</si>
  <si>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</si>
  <si>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</si>
  <si>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</si>
  <si>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</si>
  <si>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</si>
  <si>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</si>
  <si>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</si>
  <si>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</si>
  <si>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</si>
  <si>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</si>
  <si>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</si>
  <si>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</si>
  <si>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</si>
  <si>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</si>
  <si>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</si>
  <si>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</si>
  <si>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</si>
  <si>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</si>
  <si>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</si>
  <si>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</si>
  <si>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</si>
  <si>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</si>
  <si>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</si>
  <si>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</si>
  <si>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</si>
  <si>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</si>
  <si>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</si>
  <si>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</si>
  <si>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</si>
  <si>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</si>
  <si>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</si>
  <si>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</si>
  <si>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</si>
  <si>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</si>
  <si>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</si>
  <si>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</si>
  <si>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</si>
  <si>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</si>
  <si>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</si>
  <si>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</si>
  <si>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</si>
  <si>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</si>
  <si>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</si>
  <si>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</si>
  <si>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</si>
  <si>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</si>
  <si>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</si>
  <si>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</si>
  <si>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</si>
  <si>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</si>
  <si>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</si>
  <si>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</si>
  <si>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</si>
  <si>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</si>
  <si>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</si>
  <si>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</si>
  <si>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</si>
  <si>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</si>
  <si>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</si>
  <si>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</si>
  <si>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</si>
  <si>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</si>
  <si>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</si>
  <si>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</si>
  <si>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</si>
  <si>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</si>
  <si>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</si>
  <si>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</si>
  <si>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</si>
  <si>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</si>
  <si>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</si>
  <si>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</si>
  <si>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</si>
  <si>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</si>
  <si>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</si>
  <si>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</si>
  <si>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</si>
  <si>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</si>
  <si>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</si>
  <si>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</si>
  <si>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</si>
  <si>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</si>
  <si>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</si>
  <si>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</si>
  <si>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</si>
  <si>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</si>
  <si>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</si>
  <si>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</si>
  <si>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</si>
  <si>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</si>
  <si>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</si>
  <si>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</si>
  <si>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</si>
  <si>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</si>
  <si>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</si>
  <si>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</si>
  <si>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</si>
  <si>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</si>
  <si>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</si>
  <si>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</si>
  <si>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</si>
  <si>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</si>
  <si>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</si>
  <si>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</si>
  <si>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</si>
  <si>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</si>
  <si>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</si>
  <si>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</si>
  <si>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</si>
  <si>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</si>
  <si>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</si>
  <si>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</si>
  <si>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</si>
  <si>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</si>
  <si>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</si>
  <si>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</si>
  <si>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</si>
  <si>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</si>
  <si>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</si>
  <si>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</si>
  <si>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</si>
  <si>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</si>
  <si>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</si>
  <si>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</si>
  <si>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</si>
  <si>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</si>
  <si>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</si>
  <si>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</si>
  <si>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</si>
  <si>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</si>
  <si>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</si>
  <si>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</si>
  <si>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</si>
  <si>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</si>
  <si>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</si>
  <si>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</si>
  <si>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</si>
  <si>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</si>
  <si>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</si>
  <si>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</si>
  <si>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</si>
  <si>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</si>
  <si>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</si>
  <si>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</si>
  <si>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</si>
  <si>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</si>
  <si>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</si>
  <si>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</si>
  <si>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</si>
  <si>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</si>
  <si>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</si>
  <si>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</si>
  <si>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</si>
  <si>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</si>
  <si>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</si>
  <si>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</si>
  <si>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</si>
  <si>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</si>
  <si>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</si>
  <si>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</si>
  <si>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</si>
  <si>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</si>
  <si>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</si>
  <si>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</si>
  <si>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</si>
  <si>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</si>
  <si>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</si>
  <si>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</si>
  <si>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</si>
  <si>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</si>
  <si>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</si>
  <si>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</si>
  <si>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</si>
  <si>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</si>
  <si>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</si>
  <si>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</si>
  <si>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</si>
  <si>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</si>
  <si>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</si>
  <si>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</si>
  <si>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</si>
  <si>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</si>
  <si>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</si>
  <si>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</si>
  <si>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</si>
  <si>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</si>
  <si>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</si>
  <si>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</si>
  <si>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</si>
  <si>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</si>
  <si>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</si>
  <si>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</si>
  <si>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</si>
  <si>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</si>
  <si>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</si>
  <si>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</si>
  <si>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</si>
  <si>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</si>
  <si>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</si>
  <si>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</si>
  <si>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</si>
  <si>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</si>
  <si>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</si>
  <si>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</si>
  <si>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</si>
  <si>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</si>
  <si>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</si>
  <si>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</si>
  <si>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</si>
  <si>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</si>
  <si>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</si>
  <si>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</si>
  <si>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</si>
  <si>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</si>
  <si>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</si>
  <si>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</si>
  <si>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</si>
  <si>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</si>
  <si>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</si>
  <si>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</si>
  <si>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</si>
  <si>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</si>
  <si>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</si>
  <si>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</si>
  <si>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</si>
  <si>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</si>
  <si>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</si>
  <si>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</si>
  <si>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</si>
  <si>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</si>
  <si>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</si>
  <si>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</si>
  <si>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</si>
  <si>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</si>
  <si>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</si>
  <si>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</si>
  <si>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</si>
  <si>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</si>
  <si>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</si>
  <si>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</si>
  <si>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</si>
  <si>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</si>
  <si>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</si>
  <si>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</si>
  <si>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</si>
  <si>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</si>
  <si>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</si>
  <si>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</si>
  <si>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</si>
  <si>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</si>
  <si>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</si>
  <si>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</si>
  <si>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</si>
  <si>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</si>
  <si>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</si>
  <si>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</si>
  <si>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</si>
  <si>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</si>
  <si>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</si>
  <si>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</si>
  <si>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</si>
  <si>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</si>
  <si>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</si>
  <si>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</si>
  <si>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</si>
  <si>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</si>
  <si>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</si>
  <si>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</si>
  <si>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</si>
  <si>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</si>
  <si>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</si>
  <si>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</si>
  <si>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</si>
  <si>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</si>
  <si>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</si>
  <si>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</si>
  <si>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</si>
  <si>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</si>
  <si>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</si>
  <si>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</si>
  <si>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</si>
  <si>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</si>
  <si>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</si>
  <si>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</si>
  <si>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</si>
  <si>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</si>
  <si>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</si>
  <si>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</si>
  <si>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</si>
  <si>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</si>
  <si>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</si>
  <si>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</si>
  <si>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</si>
  <si>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</si>
  <si>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</si>
  <si>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</si>
  <si>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</si>
  <si>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</si>
  <si>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</si>
  <si>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</si>
  <si>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</si>
  <si>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</si>
  <si>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</si>
  <si>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</si>
  <si>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</si>
  <si>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</si>
  <si>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</si>
  <si>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</si>
  <si>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</si>
  <si>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</si>
  <si>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</si>
  <si>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</si>
  <si>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</si>
  <si>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</si>
  <si>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</si>
  <si>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</si>
  <si>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</si>
  <si>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</si>
  <si>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</si>
  <si>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</si>
  <si>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</si>
  <si>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</si>
  <si>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</si>
  <si>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</si>
  <si>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</si>
  <si>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</si>
  <si>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</si>
  <si>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</si>
  <si>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</si>
  <si>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</si>
  <si>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</si>
  <si>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</si>
  <si>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</si>
  <si>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</si>
  <si>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</si>
  <si>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</si>
  <si>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</si>
  <si>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</si>
  <si>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</si>
  <si>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</si>
  <si>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</si>
  <si>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</si>
  <si>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</si>
  <si>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</si>
  <si>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</si>
  <si>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</si>
  <si>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</si>
  <si>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</si>
  <si>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</si>
  <si>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</si>
  <si>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</si>
  <si>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</si>
  <si>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</si>
  <si>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</si>
  <si>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</si>
  <si>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</si>
  <si>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</si>
  <si>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</si>
  <si>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</si>
  <si>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</si>
  <si>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</si>
  <si>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</si>
  <si>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</si>
  <si>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</si>
  <si>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</si>
  <si>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</si>
  <si>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</si>
  <si>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</si>
  <si>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</si>
  <si>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</si>
  <si>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</si>
  <si>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</si>
  <si>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</si>
  <si>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</si>
  <si>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</si>
  <si>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</si>
  <si>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</si>
  <si>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</si>
  <si>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</si>
  <si>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</si>
  <si>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</si>
  <si>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</si>
  <si>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</si>
  <si>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</si>
  <si>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</si>
  <si>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</si>
  <si>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</si>
  <si>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</si>
  <si>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</si>
  <si>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</si>
  <si>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</si>
  <si>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</si>
  <si>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</si>
  <si>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</si>
  <si>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</si>
  <si>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</si>
  <si>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</si>
  <si>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</si>
  <si>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</si>
  <si>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</si>
  <si>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</si>
  <si>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</si>
  <si>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</si>
  <si>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</si>
  <si>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</si>
  <si>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</si>
  <si>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</si>
  <si>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</si>
  <si>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</si>
  <si>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</si>
  <si>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</si>
  <si>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</si>
  <si>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</si>
  <si>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</si>
  <si>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</si>
  <si>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</si>
  <si>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</si>
  <si>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</si>
  <si>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</si>
  <si>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</si>
  <si>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</si>
  <si>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</si>
  <si>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</si>
  <si>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</si>
  <si>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</si>
  <si>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</si>
  <si>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</si>
  <si>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</si>
  <si>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</si>
  <si>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</si>
  <si>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</si>
  <si>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</si>
  <si>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</si>
  <si>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</si>
  <si>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</si>
  <si>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</si>
  <si>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</si>
  <si>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</si>
  <si>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</si>
  <si>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</si>
  <si>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</si>
  <si>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</si>
  <si>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</si>
  <si>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</si>
  <si>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</si>
  <si>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</si>
  <si>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</si>
  <si>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</si>
  <si>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</si>
  <si>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</si>
  <si>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</si>
  <si>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</si>
  <si>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</si>
  <si>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</si>
  <si>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</si>
  <si>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</si>
  <si>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</si>
  <si>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</si>
  <si>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</si>
  <si>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</si>
  <si>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</si>
  <si>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</si>
  <si>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</si>
  <si>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</si>
  <si>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</si>
  <si>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</si>
  <si>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</si>
  <si>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</si>
  <si>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</si>
  <si>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</si>
  <si>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</si>
  <si>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</si>
  <si>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</si>
  <si>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</si>
  <si>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</si>
  <si>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</si>
  <si>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</si>
  <si>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</si>
  <si>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</si>
  <si>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</si>
  <si>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</si>
  <si>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</si>
  <si>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</si>
  <si>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</si>
  <si>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</si>
  <si>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</si>
  <si>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</si>
  <si>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</si>
  <si>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</si>
  <si>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</si>
  <si>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</si>
  <si>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</si>
  <si>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</si>
  <si>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</si>
  <si>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</si>
  <si>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</si>
  <si>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</si>
  <si>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</si>
  <si>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</si>
  <si>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</si>
  <si>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</si>
  <si>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</si>
  <si>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</si>
  <si>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</si>
  <si>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</si>
  <si>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</si>
  <si>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</si>
  <si>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</si>
  <si>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</si>
  <si>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</si>
  <si>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</si>
  <si>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</si>
  <si>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</si>
  <si>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</si>
  <si>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</si>
  <si>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</si>
  <si>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</si>
  <si>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</si>
  <si>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</si>
  <si>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</si>
  <si>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</si>
  <si>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</si>
  <si>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</si>
  <si>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</si>
  <si>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</si>
  <si>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</si>
  <si>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</si>
  <si>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</si>
  <si>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</si>
  <si>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</si>
  <si>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</si>
  <si>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</si>
  <si>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</si>
  <si>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</si>
  <si>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</si>
  <si>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</si>
  <si>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</si>
  <si>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</si>
  <si>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</si>
  <si>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</si>
  <si>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</si>
  <si>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</si>
  <si>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</si>
  <si>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</si>
  <si>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</si>
  <si>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</si>
  <si>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</si>
  <si>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</si>
  <si>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</si>
  <si>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</si>
  <si>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</si>
  <si>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</si>
  <si>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</si>
  <si>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</si>
  <si>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</si>
  <si>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</si>
  <si>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</si>
  <si>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</si>
  <si>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</si>
  <si>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</si>
  <si>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</si>
  <si>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</si>
  <si>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</si>
  <si>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</si>
  <si>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</si>
  <si>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</si>
  <si>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</si>
  <si>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</si>
  <si>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</si>
  <si>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</si>
  <si>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</si>
  <si>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</si>
  <si>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</si>
  <si>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</si>
  <si>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</si>
  <si>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</si>
  <si>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</si>
  <si>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</si>
  <si>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</si>
  <si>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</si>
  <si>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</si>
  <si>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</si>
  <si>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</si>
  <si>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</si>
  <si>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</si>
  <si>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</si>
  <si>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</si>
  <si>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</si>
  <si>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</si>
  <si>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</si>
  <si>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</si>
  <si>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</si>
  <si>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</si>
  <si>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</si>
  <si>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</si>
  <si>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</si>
  <si>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</si>
  <si>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</si>
  <si>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</si>
  <si>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</si>
  <si>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</si>
  <si>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</si>
  <si>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</si>
  <si>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</si>
  <si>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</si>
  <si>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</si>
  <si>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</si>
  <si>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</si>
  <si>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</si>
  <si>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</si>
  <si>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</si>
  <si>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</si>
  <si>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</si>
  <si>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</si>
  <si>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</si>
  <si>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</si>
  <si>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</si>
  <si>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</si>
  <si>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</si>
  <si>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</si>
  <si>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</si>
  <si>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</si>
  <si>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</si>
  <si>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</si>
  <si>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</si>
  <si>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</si>
  <si>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</si>
  <si>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</si>
  <si>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</si>
  <si>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</si>
  <si>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</si>
  <si>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</si>
  <si>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</si>
  <si>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</si>
  <si>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</si>
  <si>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</si>
  <si>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</si>
  <si>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</si>
  <si>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</si>
  <si>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</si>
  <si>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</si>
  <si>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</si>
  <si>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</si>
  <si>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</si>
  <si>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</si>
  <si>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</si>
  <si>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</si>
  <si>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</si>
  <si>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</si>
  <si>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</si>
  <si>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</si>
  <si>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</si>
  <si>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</si>
  <si>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</si>
  <si>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</si>
  <si>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</si>
  <si>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</si>
  <si>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</si>
  <si>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</si>
  <si>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</si>
  <si>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</si>
  <si>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</si>
  <si>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</si>
  <si>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</si>
  <si>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</si>
  <si>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</si>
  <si>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</si>
  <si>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</si>
  <si>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</si>
  <si>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</si>
  <si>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</si>
  <si>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</si>
  <si>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</si>
  <si>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</si>
  <si>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</si>
  <si>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</si>
  <si>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</si>
  <si>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</si>
  <si>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</si>
  <si>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</si>
  <si>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</si>
  <si>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</si>
  <si>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</si>
  <si>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</si>
  <si>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</si>
  <si>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</si>
  <si>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</si>
  <si>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</si>
  <si>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</si>
  <si>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</si>
  <si>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</si>
  <si>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</si>
  <si>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</si>
  <si>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</si>
  <si>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</si>
  <si>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</si>
  <si>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</si>
  <si>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</si>
  <si>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</si>
  <si>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</si>
  <si>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</si>
  <si>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</si>
  <si>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</si>
  <si>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</si>
  <si>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</si>
  <si>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</si>
  <si>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</si>
  <si>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</si>
  <si>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</si>
  <si>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</si>
  <si>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</si>
  <si>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</si>
  <si>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</si>
  <si>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</si>
  <si>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</si>
  <si>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</si>
  <si>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</si>
  <si>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</si>
  <si>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</si>
  <si>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</si>
  <si>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</si>
  <si>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</si>
  <si>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</si>
  <si>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</si>
  <si>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</si>
  <si>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</si>
  <si>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</si>
  <si>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</si>
  <si>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</si>
  <si>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</si>
  <si>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</si>
  <si>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</si>
  <si>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</si>
  <si>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</si>
  <si>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</si>
  <si>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</si>
  <si>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</si>
  <si>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</si>
  <si>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</si>
  <si>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</si>
  <si>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</si>
  <si>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</si>
  <si>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</si>
  <si>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</si>
  <si>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</si>
  <si>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</si>
  <si>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</si>
  <si>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</si>
  <si>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</si>
  <si>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</si>
  <si>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</si>
  <si>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</si>
  <si>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</si>
  <si>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</si>
  <si>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</si>
  <si>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</si>
  <si>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</si>
  <si>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</si>
  <si>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</si>
  <si>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</si>
  <si>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</si>
  <si>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</si>
  <si>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</si>
  <si>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</si>
  <si>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</si>
  <si>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</si>
  <si>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</si>
  <si>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</si>
  <si>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</si>
  <si>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</si>
  <si>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</si>
  <si>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</si>
  <si>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</si>
  <si>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</si>
  <si>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</si>
  <si>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</si>
  <si>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</si>
  <si>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</si>
  <si>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</si>
  <si>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</si>
  <si>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</si>
  <si>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</si>
  <si>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</si>
  <si>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</si>
  <si>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</si>
  <si>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</si>
  <si>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</si>
  <si>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</si>
  <si>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</si>
  <si>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</si>
  <si>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</si>
  <si>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</si>
  <si>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</si>
  <si>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</si>
  <si>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</si>
  <si>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</si>
  <si>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</si>
  <si>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</si>
  <si>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</si>
  <si>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</si>
  <si>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</si>
  <si>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</si>
  <si>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</si>
  <si>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</si>
  <si>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</si>
  <si>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</si>
  <si>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</si>
  <si>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</si>
  <si>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</si>
  <si>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</si>
  <si>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</si>
  <si>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</si>
  <si>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</si>
  <si>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</si>
  <si>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</si>
  <si>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</si>
  <si>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</si>
  <si>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</si>
  <si>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</si>
  <si>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</si>
  <si>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</si>
  <si>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</si>
  <si>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</si>
  <si>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</si>
  <si>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</si>
  <si>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</si>
  <si>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</si>
  <si>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</si>
  <si>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</si>
  <si>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</si>
  <si>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</si>
  <si>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</si>
  <si>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</si>
  <si>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</si>
  <si>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</si>
  <si>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</si>
  <si>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</si>
  <si>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</si>
  <si>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</si>
  <si>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</si>
  <si>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</si>
  <si>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</si>
  <si>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</si>
  <si>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</si>
  <si>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</si>
  <si>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</si>
  <si>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</si>
  <si>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</si>
  <si>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</si>
  <si>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</si>
  <si>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</si>
  <si>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</si>
  <si>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</si>
  <si>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</si>
  <si>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</si>
  <si>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</si>
  <si>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</si>
  <si>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</si>
  <si>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</si>
  <si>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</si>
  <si>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</si>
  <si>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</si>
  <si>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</si>
  <si>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</si>
  <si>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</si>
  <si>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</si>
  <si>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</si>
  <si>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</si>
  <si>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</si>
  <si>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</si>
  <si>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</si>
  <si>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</si>
  <si>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</si>
  <si>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</si>
  <si>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</si>
  <si>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</si>
  <si>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</si>
  <si>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</si>
  <si>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</si>
  <si>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</si>
  <si>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</si>
  <si>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</si>
  <si>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</si>
  <si>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</si>
  <si>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</si>
  <si>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</si>
  <si>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</si>
  <si>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</si>
  <si>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</si>
  <si>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</si>
  <si>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</si>
  <si>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</si>
  <si>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</si>
  <si>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</si>
  <si>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</si>
  <si>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</si>
  <si>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</si>
  <si>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</si>
  <si>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</si>
  <si>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</si>
  <si>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</si>
  <si>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</si>
  <si>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</si>
  <si>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</si>
  <si>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</si>
  <si>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</si>
  <si>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</si>
  <si>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</si>
  <si>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</si>
  <si>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</si>
  <si>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</si>
  <si>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</si>
  <si>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</si>
  <si>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</si>
  <si>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</si>
  <si>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</si>
  <si>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</si>
  <si>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</si>
  <si>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</si>
  <si>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</si>
  <si>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</si>
  <si>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</si>
  <si>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</si>
  <si>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</si>
  <si>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</si>
  <si>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</si>
  <si>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</si>
  <si>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</si>
  <si>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</si>
  <si>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</si>
  <si>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</si>
  <si>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</si>
  <si>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</si>
  <si>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</si>
  <si>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</si>
  <si>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</si>
  <si>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</si>
  <si>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</si>
  <si>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</si>
  <si>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</si>
  <si>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</si>
  <si>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</si>
  <si>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</si>
  <si>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</si>
  <si>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</si>
  <si>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</si>
  <si>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</si>
  <si>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</si>
  <si>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</si>
  <si>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</si>
  <si>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</si>
  <si>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</si>
  <si>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</si>
  <si>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</si>
  <si>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</si>
  <si>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</si>
  <si>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</si>
  <si>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</si>
  <si>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</si>
  <si>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</si>
  <si>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</si>
  <si>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</si>
  <si>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</si>
  <si>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</si>
  <si>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</si>
  <si>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</si>
  <si>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</si>
  <si>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</si>
  <si>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</si>
  <si>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</si>
  <si>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</si>
  <si>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</si>
  <si>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</si>
  <si>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</si>
  <si>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</si>
  <si>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</si>
  <si>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</si>
  <si>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</si>
  <si>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</si>
  <si>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</si>
  <si>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</si>
  <si>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</si>
  <si>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</si>
  <si>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</si>
  <si>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</si>
  <si>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</si>
  <si>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</si>
  <si>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</si>
  <si>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</si>
  <si>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</si>
  <si>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</si>
  <si>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</si>
  <si>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</si>
  <si>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</si>
  <si>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</si>
  <si>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</si>
  <si>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</si>
  <si>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</si>
  <si>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</si>
  <si>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</si>
  <si>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</si>
  <si>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</si>
  <si>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</si>
  <si>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</si>
  <si>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</si>
  <si>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</si>
  <si>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</si>
  <si>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</si>
  <si>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</si>
  <si>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</si>
  <si>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</si>
  <si>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</si>
  <si>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</si>
  <si>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</si>
  <si>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</si>
  <si>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</si>
  <si>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</si>
  <si>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</si>
  <si>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</si>
  <si>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</si>
  <si>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</si>
  <si>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</si>
  <si>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</si>
  <si>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</si>
  <si>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</si>
  <si>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</si>
  <si>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</si>
  <si>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</si>
  <si>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</si>
  <si>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</si>
  <si>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</si>
  <si>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</si>
  <si>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</si>
  <si>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</si>
  <si>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</si>
  <si>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</si>
  <si>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</si>
  <si>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</si>
  <si>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</si>
  <si>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</si>
  <si>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</si>
  <si>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</si>
  <si>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</si>
  <si>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</si>
  <si>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</si>
  <si>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</si>
  <si>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</si>
  <si>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</si>
  <si>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</si>
  <si>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</si>
  <si>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</si>
  <si>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</si>
  <si>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</si>
  <si>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</si>
  <si>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</si>
  <si>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</si>
  <si>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</si>
  <si>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</si>
  <si>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</si>
  <si>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</si>
  <si>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</si>
  <si>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</si>
  <si>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</si>
  <si>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</si>
  <si>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</si>
  <si>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</si>
  <si>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</si>
  <si>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</si>
  <si>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</si>
  <si>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</si>
  <si>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</si>
  <si>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</si>
  <si>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</si>
  <si>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</si>
  <si>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</si>
  <si>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</si>
  <si>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</si>
  <si>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</si>
  <si>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</si>
  <si>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</si>
  <si>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</si>
  <si>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</si>
  <si>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</si>
  <si>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</si>
  <si>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</si>
  <si>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</si>
  <si>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</si>
  <si>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</si>
  <si>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</si>
  <si>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</si>
  <si>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</si>
  <si>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</si>
  <si>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</si>
  <si>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</si>
  <si>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</si>
  <si>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</si>
  <si>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</si>
  <si>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</si>
  <si>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</si>
  <si>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</si>
  <si>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</si>
  <si>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</si>
  <si>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</si>
  <si>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</si>
  <si>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</si>
  <si>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</si>
  <si>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</si>
  <si>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</si>
  <si>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</si>
  <si>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</si>
  <si>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</si>
  <si>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</si>
  <si>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</si>
  <si>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</si>
  <si>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</si>
  <si>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</si>
  <si>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</si>
  <si>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</si>
  <si>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</si>
  <si>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</si>
  <si>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</si>
  <si>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</si>
  <si>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</si>
  <si>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</si>
  <si>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</si>
  <si>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</si>
  <si>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</si>
  <si>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</si>
  <si>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</si>
  <si>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</si>
  <si>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</si>
  <si>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</si>
  <si>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</si>
  <si>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</si>
  <si>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</si>
  <si>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</si>
  <si>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</si>
  <si>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</si>
  <si>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</si>
  <si>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</si>
  <si>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</si>
  <si>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</si>
  <si>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</si>
  <si>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</si>
  <si>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</si>
  <si>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</si>
  <si>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</si>
  <si>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</si>
  <si>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</si>
  <si>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</si>
  <si>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</si>
  <si>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</si>
  <si>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</si>
  <si>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</si>
  <si>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</si>
  <si>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</si>
  <si>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</si>
  <si>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</si>
  <si>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</si>
  <si>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</si>
  <si>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</si>
  <si>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</si>
  <si>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</si>
  <si>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</si>
  <si>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</si>
  <si>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</si>
  <si>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</si>
  <si>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</si>
  <si>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</si>
  <si>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</si>
  <si>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</si>
  <si>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</si>
  <si>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</si>
  <si>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</si>
  <si>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</si>
  <si>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</si>
  <si>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</si>
  <si>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</si>
  <si>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</si>
  <si>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</si>
  <si>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</si>
  <si>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</si>
  <si>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</si>
  <si>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</si>
  <si>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</si>
  <si>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</si>
  <si>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</si>
  <si>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</si>
  <si>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</si>
  <si>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</si>
  <si>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</si>
  <si>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</si>
  <si>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</si>
  <si>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</si>
  <si>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</si>
  <si>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</si>
  <si>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</si>
  <si>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</si>
  <si>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</si>
  <si>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</si>
  <si>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</si>
  <si>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</si>
  <si>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</si>
  <si>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</si>
  <si>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</si>
  <si>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</si>
  <si>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</si>
  <si>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</si>
  <si>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</si>
  <si>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</si>
  <si>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</si>
  <si>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</si>
  <si>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</si>
  <si>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</si>
  <si>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</si>
  <si>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</si>
  <si>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</si>
  <si>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</si>
  <si>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</si>
  <si>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</si>
  <si>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</si>
  <si>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</si>
  <si>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</si>
  <si>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</si>
  <si>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</si>
  <si>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</si>
  <si>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</si>
  <si>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</si>
  <si>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</si>
  <si>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</si>
  <si>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</si>
  <si>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</si>
  <si>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</si>
  <si>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</si>
  <si>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</si>
  <si>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</si>
  <si>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</si>
  <si>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</si>
  <si>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</si>
  <si>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</si>
  <si>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</si>
  <si>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</si>
  <si>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</si>
  <si>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</si>
  <si>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</si>
  <si>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</si>
  <si>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</si>
  <si>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</si>
  <si>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</si>
  <si>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</si>
  <si>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</si>
  <si>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</si>
  <si>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</si>
  <si>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</si>
  <si>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</si>
  <si>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</si>
  <si>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</si>
  <si>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</si>
  <si>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</si>
  <si>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</si>
  <si>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</si>
  <si>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</si>
  <si>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</si>
  <si>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</si>
  <si>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</si>
  <si>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</si>
  <si>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</si>
  <si>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</si>
  <si>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</si>
  <si>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</si>
  <si>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</si>
  <si>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</si>
  <si>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</si>
  <si>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</si>
  <si>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</si>
  <si>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</si>
  <si>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</si>
  <si>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</si>
  <si>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</si>
  <si>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</si>
  <si>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</si>
  <si>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</si>
  <si>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</si>
  <si>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</si>
  <si>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</si>
  <si>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</si>
  <si>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</si>
  <si>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</si>
  <si>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</si>
  <si>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</si>
  <si>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</si>
  <si>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</si>
  <si>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</si>
  <si>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</si>
  <si>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</si>
  <si>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</si>
  <si>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</si>
  <si>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</si>
  <si>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</si>
  <si>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</si>
  <si>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</si>
  <si>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</si>
  <si>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</si>
  <si>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</si>
  <si>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</si>
  <si>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</si>
  <si>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</si>
  <si>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</si>
  <si>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</si>
  <si>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</si>
  <si>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</si>
  <si>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</si>
  <si>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</si>
  <si>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</si>
  <si>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</si>
  <si>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</si>
  <si>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</si>
  <si>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</si>
  <si>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</si>
  <si>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</si>
  <si>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</si>
  <si>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</si>
  <si>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</si>
  <si>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</si>
  <si>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</si>
  <si>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</si>
  <si>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</si>
  <si>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</si>
  <si>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</si>
  <si>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</si>
  <si>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</si>
  <si>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</si>
  <si>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</si>
  <si>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</si>
  <si>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</si>
  <si>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</si>
  <si>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</si>
  <si>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</si>
  <si>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</si>
  <si>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</si>
  <si>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</si>
  <si>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</si>
  <si>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</si>
  <si>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</si>
  <si>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</si>
  <si>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</si>
  <si>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</si>
  <si>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</si>
  <si>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</si>
  <si>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</si>
  <si>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</si>
  <si>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</si>
  <si>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</si>
  <si>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</si>
  <si>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</si>
  <si>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</si>
  <si>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</si>
  <si>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</si>
  <si>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</si>
  <si>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</si>
  <si>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</si>
  <si>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</si>
  <si>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</si>
  <si>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</si>
  <si>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</si>
  <si>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</si>
  <si>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</si>
  <si>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</si>
  <si>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</si>
  <si>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</si>
  <si>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</si>
  <si>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</si>
  <si>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</si>
  <si>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</si>
  <si>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</si>
  <si>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</si>
  <si>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</si>
  <si>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</si>
  <si>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</si>
  <si>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</si>
  <si>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</si>
  <si>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</si>
  <si>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</si>
  <si>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</si>
  <si>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</si>
  <si>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</si>
  <si>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</si>
  <si>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</si>
  <si>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</si>
  <si>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</si>
  <si>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</si>
  <si>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</si>
  <si>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</si>
  <si>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</si>
  <si>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</si>
  <si>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</si>
  <si>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</si>
  <si>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</si>
  <si>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</si>
  <si>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</si>
  <si>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</si>
  <si>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</si>
  <si>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</si>
  <si>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</si>
  <si>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</si>
  <si>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</si>
  <si>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</si>
  <si>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</si>
  <si>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</si>
  <si>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</si>
  <si>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</si>
  <si>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</si>
  <si>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</si>
  <si>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</si>
  <si>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</si>
  <si>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</si>
  <si>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</si>
  <si>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</si>
  <si>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</si>
  <si>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</si>
  <si>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</si>
  <si>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</si>
  <si>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</si>
  <si>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</si>
  <si>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</si>
  <si>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</si>
  <si>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</si>
  <si>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</si>
  <si>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</si>
  <si>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</si>
  <si>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</si>
  <si>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</si>
  <si>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</si>
  <si>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</si>
  <si>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</si>
  <si>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</si>
  <si>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</si>
  <si>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</si>
  <si>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</si>
  <si>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</si>
  <si>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</si>
  <si>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</si>
  <si>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</si>
  <si>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</si>
  <si>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</si>
  <si>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</si>
  <si>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</si>
  <si>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</si>
  <si>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</si>
  <si>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</si>
  <si>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</si>
  <si>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</si>
  <si>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</si>
  <si>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</si>
  <si>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</si>
  <si>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</si>
  <si>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</si>
  <si>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</si>
  <si>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</si>
  <si>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</si>
  <si>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</si>
  <si>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</si>
  <si>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 xml:space="preserve">Active Employees </t>
  </si>
  <si>
    <t>Average Age</t>
  </si>
  <si>
    <t>Attrition Count</t>
  </si>
  <si>
    <t>Total Employees</t>
  </si>
  <si>
    <t>Attriation Rate</t>
  </si>
  <si>
    <t>Average of Job Satisfaction</t>
  </si>
  <si>
    <t>rating</t>
  </si>
  <si>
    <t>balance rating</t>
  </si>
  <si>
    <t>max rating is 4 and min is 1 assumption</t>
  </si>
  <si>
    <t>Row Labels</t>
  </si>
  <si>
    <t>Grand Total</t>
  </si>
  <si>
    <t>Count of Employee Count</t>
  </si>
  <si>
    <t>we cannot create a treem map so I have extracted the date outside the pivot table</t>
  </si>
  <si>
    <t>Count of Attrition</t>
  </si>
  <si>
    <t>marital status</t>
  </si>
  <si>
    <t>attrition count</t>
  </si>
  <si>
    <t>used 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</si>
</sst>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2"/>
      <color theme="1"/>
      <name val="Calibri"/>
      <scheme val="minor"/>
    </font>
    <font>
      <sz val="12"/>
      <color theme="1"/>
      <name val="Calibri"/>
      <scheme val="minor"/>
    </font>
    <font>
      <sz val="12"/>
      <color theme="1"/>
      <name val="Calibri"/>
      <family val="2"/>
      <scheme val="minor"/>
    </font>
    <font>
      <b/>
      <i/>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0" fontId="1" fillId="0" borderId="0" xfId="0" applyFont="1"/>
    <xf numFmtId="0" fontId="0" fillId="0" borderId="1" xfId="0" applyBorder="1"/>
    <xf numFmtId="0" fontId="0" fillId="0" borderId="2" xfId="0" applyBorder="1"/>
    <xf numFmtId="0" fontId="0" fillId="0" borderId="4" xfId="0" applyBorder="1"/>
    <xf numFmtId="0" fontId="0" fillId="0" borderId="7" xfId="0" applyBorder="1"/>
    <xf numFmtId="0" fontId="2" fillId="0" borderId="0" xfId="0" applyFont="1"/>
    <xf numFmtId="9" fontId="0" fillId="0" borderId="0" xfId="1" applyFont="1"/>
    <xf numFmtId="164" fontId="0" fillId="0" borderId="0" xfId="0" applyNumberFormat="1"/>
    <xf numFmtId="1" fontId="0" fillId="0" borderId="0" xfId="0" applyNumberFormat="1"/>
    <xf numFmtId="1" fontId="0" fillId="0" borderId="6" xfId="0" applyNumberFormat="1" applyBorder="1"/>
    <xf numFmtId="0" fontId="3" fillId="2" borderId="0" xfId="0" applyFont="1" applyFill="1"/>
    <xf numFmtId="0" fontId="0" fillId="2" borderId="0" xfId="0" applyFill="1"/>
    <xf numFmtId="164" fontId="0" fillId="0" borderId="3" xfId="0" applyNumberFormat="1" applyBorder="1"/>
    <xf numFmtId="0" fontId="0" fillId="0" borderId="1" xfId="0" pivotButton="1" applyBorder="1"/>
    <xf numFmtId="0" fontId="0" fillId="0" borderId="1" xfId="0" applyBorder="1" applyAlignment="1">
      <alignment horizontal="left"/>
    </xf>
    <xf numFmtId="0" fontId="0" fillId="0" borderId="9" xfId="0" applyBorder="1" applyAlignment="1">
      <alignment horizontal="left"/>
    </xf>
    <xf numFmtId="0" fontId="0" fillId="0" borderId="5" xfId="0" applyBorder="1" applyAlignment="1">
      <alignment horizontal="left"/>
    </xf>
    <xf numFmtId="0" fontId="0" fillId="0" borderId="0" xfId="0" applyAlignment="1">
      <alignment horizontal="left"/>
    </xf>
    <xf numFmtId="0" fontId="4" fillId="0" borderId="0" xfId="0" applyFont="1"/>
    <xf numFmtId="10" fontId="0" fillId="0" borderId="2" xfId="0" applyNumberFormat="1" applyBorder="1"/>
    <xf numFmtId="10" fontId="0" fillId="0" borderId="10" xfId="0" applyNumberFormat="1" applyBorder="1"/>
    <xf numFmtId="10" fontId="0" fillId="0" borderId="3" xfId="0" applyNumberFormat="1" applyBorder="1"/>
    <xf numFmtId="0" fontId="0" fillId="0" borderId="2" xfId="0" applyNumberFormat="1" applyBorder="1"/>
    <xf numFmtId="0" fontId="0" fillId="0" borderId="10" xfId="0" applyNumberFormat="1" applyBorder="1"/>
    <xf numFmtId="0" fontId="0" fillId="0" borderId="3" xfId="0" applyNumberFormat="1" applyBorder="1"/>
    <xf numFmtId="0" fontId="0" fillId="0" borderId="5" xfId="0" applyNumberFormat="1" applyBorder="1"/>
    <xf numFmtId="0" fontId="0" fillId="0" borderId="8" xfId="0" applyNumberFormat="1" applyBorder="1"/>
  </cellXfs>
  <cellStyles count="2">
    <cellStyle name="Normal" xfId="0" builtinId="0"/>
    <cellStyle name="Percent" xfId="1" builtinId="5"/>
  </cellStyles>
  <dxfs count="42">
    <dxf>
      <numFmt numFmtId="164" formatCode="0.0"/>
    </dxf>
    <dxf>
      <font>
        <b/>
        <family val="2"/>
      </font>
    </dxf>
    <dxf>
      <numFmt numFmtId="1" formatCode="0"/>
    </dxf>
    <dxf>
      <numFmt numFmtId="164" formatCode="0.0"/>
    </dxf>
    <dxf>
      <font>
        <b/>
        <family val="2"/>
      </font>
    </dxf>
    <dxf>
      <numFmt numFmtId="1" formatCode="0"/>
    </dxf>
    <dxf>
      <numFmt numFmtId="164" formatCode="0.0"/>
    </dxf>
    <dxf>
      <font>
        <b/>
        <family val="2"/>
      </font>
    </dxf>
    <dxf>
      <numFmt numFmtId="1" formatCode="0"/>
    </dxf>
    <dxf>
      <numFmt numFmtId="164" formatCode="0.0"/>
    </dxf>
    <dxf>
      <font>
        <b/>
        <family val="2"/>
      </font>
    </dxf>
    <dxf>
      <numFmt numFmtId="1" formatCode="0"/>
    </dxf>
    <dxf>
      <numFmt numFmtId="164" formatCode="0.0"/>
    </dxf>
    <dxf>
      <font>
        <b/>
        <family val="2"/>
      </font>
    </dxf>
    <dxf>
      <numFmt numFmtId="1" formatCode="0"/>
    </dxf>
    <dxf>
      <numFmt numFmtId="164" formatCode="0.0"/>
    </dxf>
    <dxf>
      <font>
        <b/>
        <family val="2"/>
      </font>
    </dxf>
    <dxf>
      <numFmt numFmtId="1" formatCode="0"/>
    </dxf>
    <dxf>
      <numFmt numFmtId="164" formatCode="0.0"/>
    </dxf>
    <dxf>
      <font>
        <b/>
        <family val="2"/>
      </font>
    </dxf>
    <dxf>
      <numFmt numFmtId="1" formatCode="0"/>
    </dxf>
    <dxf>
      <numFmt numFmtId="164" formatCode="0.0"/>
    </dxf>
    <dxf>
      <font>
        <b/>
        <family val="2"/>
      </font>
    </dxf>
    <dxf>
      <numFmt numFmtId="1" formatCode="0"/>
    </dxf>
    <dxf>
      <numFmt numFmtId="164" formatCode="0.0"/>
    </dxf>
    <dxf>
      <font>
        <b/>
        <family val="2"/>
      </font>
    </dxf>
    <dxf>
      <numFmt numFmtId="1" formatCode="0"/>
    </dxf>
    <dxf>
      <numFmt numFmtId="164" formatCode="0.0"/>
    </dxf>
    <dxf>
      <font>
        <b/>
        <family val="2"/>
      </font>
    </dxf>
    <dxf>
      <numFmt numFmtId="1" formatCode="0"/>
    </dxf>
    <dxf>
      <numFmt numFmtId="164" formatCode="0.0"/>
    </dxf>
    <dxf>
      <font>
        <b/>
        <family val="2"/>
      </font>
    </dxf>
    <dxf>
      <numFmt numFmtId="1" formatCode="0"/>
    </dxf>
    <dxf>
      <numFmt numFmtId="164" formatCode="0.0"/>
    </dxf>
    <dxf>
      <numFmt numFmtId="1" formatCode="0"/>
    </dxf>
    <dxf>
      <font>
        <b/>
        <family val="2"/>
      </font>
    </dxf>
    <dxf>
      <border diagonalUp="0" diagonalDown="0">
        <left/>
        <right/>
        <top/>
        <bottom/>
        <vertical/>
        <horizontal/>
      </border>
    </dxf>
    <dxf>
      <fill>
        <patternFill patternType="solid"/>
      </fill>
    </dxf>
    <dxf>
      <border diagonalUp="0" diagonalDown="0">
        <left/>
        <right/>
        <top/>
        <bottom/>
        <vertical/>
        <horizontal/>
      </border>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4">
    <tableStyle name="Data-style" pivot="0" count="3" xr9:uid="{00000000-0011-0000-FFFF-FFFF00000000}">
      <tableStyleElement type="headerRow" dxfId="41"/>
      <tableStyleElement type="firstRowStripe" dxfId="40"/>
      <tableStyleElement type="secondRowStripe" dxfId="39"/>
    </tableStyle>
    <tableStyle name="Slicer Style 1" pivot="0" table="0" count="1" xr9:uid="{CB984488-FAF0-4354-89AE-00B9BB6D54ED}">
      <tableStyleElement type="wholeTable" dxfId="38"/>
    </tableStyle>
    <tableStyle name="Slicer Style 2" pivot="0" table="0" count="1" xr9:uid="{2CA59183-EC98-4F6B-929A-F21C142C7BAB}">
      <tableStyleElement type="wholeTable" dxfId="37"/>
    </tableStyle>
    <tableStyle name="Slicer Style 3" pivot="0" table="0" count="1" xr9:uid="{7B4CAD2B-58C4-41B4-8696-AE603FDAB7E1}">
      <tableStyleElement type="wholeTable" dxfId="36"/>
    </tableStyle>
  </tableStyles>
  <colors>
    <mruColors>
      <color rgb="FF602928"/>
      <color rgb="FFC840B8"/>
      <color rgb="FFD7B9CF"/>
      <color rgb="FFD2BEC8"/>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3.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E3-4372-9FA6-3AE58FB7BF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E3-4372-9FA6-3AE58FB7BF11}"/>
              </c:ext>
            </c:extLst>
          </c:dPt>
          <c:val>
            <c:numRef>
              <c:f>rating!$C$6:$C$7</c:f>
              <c:numCache>
                <c:formatCode>0%</c:formatCode>
                <c:ptCount val="2"/>
                <c:pt idx="0">
                  <c:v>0.77316810344827591</c:v>
                </c:pt>
                <c:pt idx="1">
                  <c:v>0.22683189655172409</c:v>
                </c:pt>
              </c:numCache>
            </c:numRef>
          </c:val>
          <c:extLst>
            <c:ext xmlns:c16="http://schemas.microsoft.com/office/drawing/2014/chart" uri="{C3380CC4-5D6E-409C-BE32-E72D297353CC}">
              <c16:uniqueId val="{00000000-1EC7-4122-9FD9-CA11CA66262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6374890638670167E-2"/>
          <c:y val="6.4814814814814811E-2"/>
          <c:w val="0.90725021872265965"/>
          <c:h val="0.8416746864975212"/>
        </c:manualLayout>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3.0926724137931036</c:v>
                </c:pt>
              </c:numCache>
            </c:numRef>
          </c:val>
          <c:extLst>
            <c:ext xmlns:c16="http://schemas.microsoft.com/office/drawing/2014/chart" uri="{C3380CC4-5D6E-409C-BE32-E72D297353CC}">
              <c16:uniqueId val="{00000000-7B98-4E28-94F6-2C7C9A74049E}"/>
            </c:ext>
          </c:extLst>
        </c:ser>
        <c:ser>
          <c:idx val="1"/>
          <c:order val="1"/>
          <c:spPr>
            <a:solidFill>
              <a:schemeClr val="accent2"/>
            </a:solidFill>
            <a:ln>
              <a:noFill/>
            </a:ln>
            <a:effectLst/>
          </c:spPr>
          <c:invertIfNegative val="0"/>
          <c:val>
            <c:numRef>
              <c:f>rating!$B$7</c:f>
              <c:numCache>
                <c:formatCode>0.0</c:formatCode>
                <c:ptCount val="1"/>
                <c:pt idx="0">
                  <c:v>0.90732758620689635</c:v>
                </c:pt>
              </c:numCache>
            </c:numRef>
          </c:val>
          <c:extLst>
            <c:ext xmlns:c16="http://schemas.microsoft.com/office/drawing/2014/chart" uri="{C3380CC4-5D6E-409C-BE32-E72D297353CC}">
              <c16:uniqueId val="{00000001-7B98-4E28-94F6-2C7C9A74049E}"/>
            </c:ext>
          </c:extLst>
        </c:ser>
        <c:dLbls>
          <c:showLegendKey val="0"/>
          <c:showVal val="0"/>
          <c:showCatName val="0"/>
          <c:showSerName val="0"/>
          <c:showPercent val="0"/>
          <c:showBubbleSize val="0"/>
        </c:dLbls>
        <c:gapWidth val="0"/>
        <c:overlap val="100"/>
        <c:axId val="1068288944"/>
        <c:axId val="1068286064"/>
      </c:barChart>
      <c:catAx>
        <c:axId val="1068288944"/>
        <c:scaling>
          <c:orientation val="minMax"/>
        </c:scaling>
        <c:delete val="1"/>
        <c:axPos val="l"/>
        <c:majorTickMark val="out"/>
        <c:minorTickMark val="none"/>
        <c:tickLblPos val="nextTo"/>
        <c:crossAx val="1068286064"/>
        <c:crosses val="autoZero"/>
        <c:auto val="1"/>
        <c:lblAlgn val="ctr"/>
        <c:lblOffset val="100"/>
        <c:noMultiLvlLbl val="0"/>
      </c:catAx>
      <c:valAx>
        <c:axId val="1068286064"/>
        <c:scaling>
          <c:orientation val="minMax"/>
          <c:max val="4"/>
          <c:min val="0"/>
        </c:scaling>
        <c:delete val="0"/>
        <c:axPos val="b"/>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28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5A-4C97-AA4F-B68F85D07F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5A-4C97-AA4F-B68F85D07F54}"/>
              </c:ext>
            </c:extLst>
          </c:dPt>
          <c:val>
            <c:numRef>
              <c:f>General!$C$8:$C$9</c:f>
              <c:numCache>
                <c:formatCode>0%</c:formatCode>
                <c:ptCount val="2"/>
                <c:pt idx="0">
                  <c:v>0.40948275862068967</c:v>
                </c:pt>
                <c:pt idx="1">
                  <c:v>0.59051724137931039</c:v>
                </c:pt>
              </c:numCache>
            </c:numRef>
          </c:val>
          <c:extLst>
            <c:ext xmlns:c16="http://schemas.microsoft.com/office/drawing/2014/chart" uri="{C3380CC4-5D6E-409C-BE32-E72D297353CC}">
              <c16:uniqueId val="{00000000-CF2E-4A23-AF3E-A16FF20F3B6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Master's Degree</c:v>
                </c:pt>
                <c:pt idx="3">
                  <c:v>Associates Degree</c:v>
                </c:pt>
                <c:pt idx="4">
                  <c:v>Bachelor's Degree</c:v>
                </c:pt>
              </c:strCache>
            </c:strRef>
          </c:cat>
          <c:val>
            <c:numRef>
              <c:f>'Education by attrition'!$B$4:$B$9</c:f>
              <c:numCache>
                <c:formatCode>General</c:formatCode>
                <c:ptCount val="5"/>
                <c:pt idx="0">
                  <c:v>0</c:v>
                </c:pt>
                <c:pt idx="1">
                  <c:v>10</c:v>
                </c:pt>
                <c:pt idx="2">
                  <c:v>13</c:v>
                </c:pt>
                <c:pt idx="3">
                  <c:v>15</c:v>
                </c:pt>
                <c:pt idx="4">
                  <c:v>25</c:v>
                </c:pt>
              </c:numCache>
            </c:numRef>
          </c:val>
          <c:extLst>
            <c:ext xmlns:c16="http://schemas.microsoft.com/office/drawing/2014/chart" uri="{C3380CC4-5D6E-409C-BE32-E72D297353CC}">
              <c16:uniqueId val="{00000000-E038-4A58-A115-15E6D25EEE85}"/>
            </c:ext>
          </c:extLst>
        </c:ser>
        <c:dLbls>
          <c:dLblPos val="outEnd"/>
          <c:showLegendKey val="0"/>
          <c:showVal val="1"/>
          <c:showCatName val="0"/>
          <c:showSerName val="0"/>
          <c:showPercent val="0"/>
          <c:showBubbleSize val="0"/>
        </c:dLbls>
        <c:gapWidth val="182"/>
        <c:axId val="911950175"/>
        <c:axId val="911938655"/>
      </c:barChart>
      <c:catAx>
        <c:axId val="9119501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938655"/>
        <c:crosses val="autoZero"/>
        <c:auto val="1"/>
        <c:lblAlgn val="ctr"/>
        <c:lblOffset val="100"/>
        <c:noMultiLvlLbl val="0"/>
      </c:catAx>
      <c:valAx>
        <c:axId val="911938655"/>
        <c:scaling>
          <c:orientation val="minMax"/>
        </c:scaling>
        <c:delete val="1"/>
        <c:axPos val="b"/>
        <c:numFmt formatCode="General" sourceLinked="1"/>
        <c:majorTickMark val="out"/>
        <c:minorTickMark val="none"/>
        <c:tickLblPos val="nextTo"/>
        <c:crossAx val="91195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DATA_Excel.xlsx]Department wise attrition!Department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65-4083-A95E-F61EFC7A0C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65-4083-A95E-F61EFC7A0C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65-4083-A95E-F61EFC7A0C77}"/>
              </c:ext>
            </c:extLst>
          </c:dPt>
          <c:cat>
            <c:strRef>
              <c:f>'Department wise attrition'!$A$4:$A$7</c:f>
              <c:strCache>
                <c:ptCount val="3"/>
                <c:pt idx="0">
                  <c:v>HR</c:v>
                </c:pt>
                <c:pt idx="1">
                  <c:v>R&amp;D</c:v>
                </c:pt>
                <c:pt idx="2">
                  <c:v>Sales</c:v>
                </c:pt>
              </c:strCache>
            </c:strRef>
          </c:cat>
          <c:val>
            <c:numRef>
              <c:f>'Department wise attrition'!$B$4:$B$7</c:f>
              <c:numCache>
                <c:formatCode>0.00%</c:formatCode>
                <c:ptCount val="3"/>
                <c:pt idx="0">
                  <c:v>3.1746031746031744E-2</c:v>
                </c:pt>
                <c:pt idx="1">
                  <c:v>0.74603174603174605</c:v>
                </c:pt>
                <c:pt idx="2">
                  <c:v>0.22222222222222221</c:v>
                </c:pt>
              </c:numCache>
            </c:numRef>
          </c:val>
          <c:extLst>
            <c:ext xmlns:c16="http://schemas.microsoft.com/office/drawing/2014/chart" uri="{C3380CC4-5D6E-409C-BE32-E72D297353CC}">
              <c16:uniqueId val="{00000000-8382-4B78-A45F-B51A985E21D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Over 55</c:v>
                </c:pt>
                <c:pt idx="4">
                  <c:v>45 - 54</c:v>
                </c:pt>
              </c:strCache>
            </c:strRef>
          </c:cat>
          <c:val>
            <c:numRef>
              <c:f>'Attrition by age group'!$B$4:$B$9</c:f>
              <c:numCache>
                <c:formatCode>General</c:formatCode>
                <c:ptCount val="5"/>
                <c:pt idx="0">
                  <c:v>30</c:v>
                </c:pt>
                <c:pt idx="1">
                  <c:v>15</c:v>
                </c:pt>
                <c:pt idx="2">
                  <c:v>10</c:v>
                </c:pt>
                <c:pt idx="3">
                  <c:v>4</c:v>
                </c:pt>
                <c:pt idx="4">
                  <c:v>4</c:v>
                </c:pt>
              </c:numCache>
            </c:numRef>
          </c:val>
          <c:extLst>
            <c:ext xmlns:c16="http://schemas.microsoft.com/office/drawing/2014/chart" uri="{C3380CC4-5D6E-409C-BE32-E72D297353CC}">
              <c16:uniqueId val="{00000000-5752-4A87-B401-6E9B9DED5E34}"/>
            </c:ext>
          </c:extLst>
        </c:ser>
        <c:dLbls>
          <c:dLblPos val="outEnd"/>
          <c:showLegendKey val="0"/>
          <c:showVal val="1"/>
          <c:showCatName val="0"/>
          <c:showSerName val="0"/>
          <c:showPercent val="0"/>
          <c:showBubbleSize val="0"/>
        </c:dLbls>
        <c:gapWidth val="219"/>
        <c:overlap val="-27"/>
        <c:axId val="668327247"/>
        <c:axId val="668328687"/>
      </c:barChart>
      <c:catAx>
        <c:axId val="6683272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328687"/>
        <c:crosses val="autoZero"/>
        <c:auto val="1"/>
        <c:lblAlgn val="ctr"/>
        <c:lblOffset val="100"/>
        <c:noMultiLvlLbl val="0"/>
      </c:catAx>
      <c:valAx>
        <c:axId val="668328687"/>
        <c:scaling>
          <c:orientation val="minMax"/>
        </c:scaling>
        <c:delete val="1"/>
        <c:axPos val="l"/>
        <c:numFmt formatCode="General" sourceLinked="1"/>
        <c:majorTickMark val="out"/>
        <c:minorTickMark val="none"/>
        <c:tickLblPos val="nextTo"/>
        <c:crossAx val="66832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345688471820303"/>
          <c:y val="0"/>
          <c:w val="0.52290452958914069"/>
          <c:h val="1"/>
        </c:manualLayout>
      </c:layout>
      <c:doughnutChart>
        <c:varyColors val="1"/>
        <c:ser>
          <c:idx val="0"/>
          <c:order val="0"/>
          <c:dPt>
            <c:idx val="0"/>
            <c:bubble3D val="0"/>
            <c:spPr>
              <a:gradFill>
                <a:gsLst>
                  <a:gs pos="0">
                    <a:srgbClr val="0070C0"/>
                  </a:gs>
                  <a:gs pos="74000">
                    <a:srgbClr val="00B050"/>
                  </a:gs>
                  <a:gs pos="83000">
                    <a:srgbClr val="7030A0"/>
                  </a:gs>
                  <a:gs pos="100000">
                    <a:schemeClr val="accent1">
                      <a:lumMod val="30000"/>
                      <a:lumOff val="70000"/>
                    </a:schemeClr>
                  </a:gs>
                </a:gsLst>
                <a:lin ang="5400000" scaled="1"/>
              </a:gradFill>
              <a:ln w="19050">
                <a:noFill/>
              </a:ln>
              <a:effectLst/>
            </c:spPr>
            <c:extLst>
              <c:ext xmlns:c16="http://schemas.microsoft.com/office/drawing/2014/chart" uri="{C3380CC4-5D6E-409C-BE32-E72D297353CC}">
                <c16:uniqueId val="{00000001-6EE8-493D-A2AE-27CCDA64DE91}"/>
              </c:ext>
            </c:extLst>
          </c:dPt>
          <c:dPt>
            <c:idx val="1"/>
            <c:bubble3D val="0"/>
            <c:spPr>
              <a:solidFill>
                <a:schemeClr val="bg2">
                  <a:lumMod val="75000"/>
                  <a:alpha val="95000"/>
                </a:schemeClr>
              </a:solidFill>
              <a:ln w="19050">
                <a:solidFill>
                  <a:schemeClr val="lt1"/>
                </a:solidFill>
              </a:ln>
              <a:effectLst/>
            </c:spPr>
            <c:extLst>
              <c:ext xmlns:c16="http://schemas.microsoft.com/office/drawing/2014/chart" uri="{C3380CC4-5D6E-409C-BE32-E72D297353CC}">
                <c16:uniqueId val="{00000003-6EE8-493D-A2AE-27CCDA64DE91}"/>
              </c:ext>
            </c:extLst>
          </c:dPt>
          <c:val>
            <c:numRef>
              <c:f>rating!$C$6:$C$7</c:f>
              <c:numCache>
                <c:formatCode>0%</c:formatCode>
                <c:ptCount val="2"/>
                <c:pt idx="0">
                  <c:v>0.77316810344827591</c:v>
                </c:pt>
                <c:pt idx="1">
                  <c:v>0.22683189655172409</c:v>
                </c:pt>
              </c:numCache>
            </c:numRef>
          </c:val>
          <c:extLst>
            <c:ext xmlns:c16="http://schemas.microsoft.com/office/drawing/2014/chart" uri="{C3380CC4-5D6E-409C-BE32-E72D297353CC}">
              <c16:uniqueId val="{00000004-6EE8-493D-A2AE-27CCDA64DE91}"/>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06627737699033"/>
          <c:y val="0.10903251574462831"/>
          <c:w val="0.66390940256742781"/>
          <c:h val="0.87026021085453209"/>
        </c:manualLayout>
      </c:layout>
      <c:doughnutChart>
        <c:varyColors val="1"/>
        <c:ser>
          <c:idx val="0"/>
          <c:order val="0"/>
          <c:dPt>
            <c:idx val="0"/>
            <c:bubble3D val="0"/>
            <c:spPr>
              <a:gradFill>
                <a:gsLst>
                  <a:gs pos="0">
                    <a:srgbClr val="C840B8"/>
                  </a:gs>
                  <a:gs pos="74000">
                    <a:srgbClr val="D2BEC8"/>
                  </a:gs>
                  <a:gs pos="83000">
                    <a:schemeClr val="accent1">
                      <a:lumMod val="45000"/>
                      <a:lumOff val="55000"/>
                    </a:schemeClr>
                  </a:gs>
                  <a:gs pos="100000">
                    <a:schemeClr val="accent1">
                      <a:lumMod val="30000"/>
                      <a:lumOff val="70000"/>
                    </a:schemeClr>
                  </a:gs>
                </a:gsLst>
                <a:lin ang="10800000" scaled="0"/>
              </a:gradFill>
              <a:ln w="19050">
                <a:solidFill>
                  <a:schemeClr val="lt1"/>
                </a:solidFill>
              </a:ln>
              <a:effectLst/>
            </c:spPr>
            <c:extLst>
              <c:ext xmlns:c16="http://schemas.microsoft.com/office/drawing/2014/chart" uri="{C3380CC4-5D6E-409C-BE32-E72D297353CC}">
                <c16:uniqueId val="{00000001-67E0-4254-A1EB-EF3A032C3319}"/>
              </c:ext>
            </c:extLst>
          </c:dPt>
          <c:dPt>
            <c:idx val="1"/>
            <c:bubble3D val="0"/>
            <c:explosion val="6"/>
            <c:spPr>
              <a:solidFill>
                <a:schemeClr val="bg1">
                  <a:lumMod val="75000"/>
                </a:schemeClr>
              </a:solidFill>
              <a:ln w="19050">
                <a:solidFill>
                  <a:schemeClr val="lt1"/>
                </a:solidFill>
              </a:ln>
              <a:effectLst/>
            </c:spPr>
            <c:extLst>
              <c:ext xmlns:c16="http://schemas.microsoft.com/office/drawing/2014/chart" uri="{C3380CC4-5D6E-409C-BE32-E72D297353CC}">
                <c16:uniqueId val="{00000003-67E0-4254-A1EB-EF3A032C3319}"/>
              </c:ext>
            </c:extLst>
          </c:dPt>
          <c:val>
            <c:numRef>
              <c:f>General!$C$8:$C$9</c:f>
              <c:numCache>
                <c:formatCode>0%</c:formatCode>
                <c:ptCount val="2"/>
                <c:pt idx="0">
                  <c:v>0.40948275862068967</c:v>
                </c:pt>
                <c:pt idx="1">
                  <c:v>0.59051724137931039</c:v>
                </c:pt>
              </c:numCache>
            </c:numRef>
          </c:val>
          <c:extLst>
            <c:ext xmlns:c16="http://schemas.microsoft.com/office/drawing/2014/chart" uri="{C3380CC4-5D6E-409C-BE32-E72D297353CC}">
              <c16:uniqueId val="{00000004-67E0-4254-A1EB-EF3A032C3319}"/>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880139982502187"/>
          <c:y val="0.12200435729847495"/>
          <c:w val="0.54239766081871343"/>
          <c:h val="0.80827886710239649"/>
        </c:manualLayout>
      </c:layout>
      <c:doughnutChart>
        <c:varyColors val="1"/>
        <c:ser>
          <c:idx val="0"/>
          <c:order val="0"/>
          <c:spPr>
            <a:ln>
              <a:noFill/>
            </a:ln>
          </c:spPr>
          <c:dPt>
            <c:idx val="0"/>
            <c:bubble3D val="0"/>
            <c:spPr>
              <a:solidFill>
                <a:srgbClr val="D2BEC8"/>
              </a:solidFill>
              <a:ln w="19050">
                <a:noFill/>
              </a:ln>
              <a:effectLst/>
            </c:spPr>
            <c:extLst>
              <c:ext xmlns:c16="http://schemas.microsoft.com/office/drawing/2014/chart" uri="{C3380CC4-5D6E-409C-BE32-E72D297353CC}">
                <c16:uniqueId val="{00000001-0F9D-47E1-A5B6-75287F2409EC}"/>
              </c:ext>
            </c:extLst>
          </c:dPt>
          <c:dPt>
            <c:idx val="1"/>
            <c:bubble3D val="0"/>
            <c:spPr>
              <a:gradFill>
                <a:gsLst>
                  <a:gs pos="0">
                    <a:srgbClr val="0070C0"/>
                  </a:gs>
                  <a:gs pos="74000">
                    <a:srgbClr val="7030A0"/>
                  </a:gs>
                  <a:gs pos="83000">
                    <a:srgbClr val="7030A0"/>
                  </a:gs>
                  <a:gs pos="100000">
                    <a:schemeClr val="accent1">
                      <a:lumMod val="30000"/>
                      <a:lumOff val="70000"/>
                    </a:schemeClr>
                  </a:gs>
                </a:gsLst>
                <a:lin ang="10800000" scaled="0"/>
              </a:gradFill>
              <a:ln w="19050">
                <a:noFill/>
              </a:ln>
              <a:effectLst/>
            </c:spPr>
            <c:extLst>
              <c:ext xmlns:c16="http://schemas.microsoft.com/office/drawing/2014/chart" uri="{C3380CC4-5D6E-409C-BE32-E72D297353CC}">
                <c16:uniqueId val="{00000003-0F9D-47E1-A5B6-75287F2409EC}"/>
              </c:ext>
            </c:extLst>
          </c:dPt>
          <c:val>
            <c:numRef>
              <c:f>General!$C$8:$C$9</c:f>
              <c:numCache>
                <c:formatCode>0%</c:formatCode>
                <c:ptCount val="2"/>
                <c:pt idx="0">
                  <c:v>0.40948275862068967</c:v>
                </c:pt>
                <c:pt idx="1">
                  <c:v>0.59051724137931039</c:v>
                </c:pt>
              </c:numCache>
            </c:numRef>
          </c:val>
          <c:extLst>
            <c:ext xmlns:c16="http://schemas.microsoft.com/office/drawing/2014/chart" uri="{C3380CC4-5D6E-409C-BE32-E72D297353CC}">
              <c16:uniqueId val="{00000004-0F9D-47E1-A5B6-75287F2409E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C840B8"/>
              </a:gs>
              <a:gs pos="74000">
                <a:srgbClr val="7030A0"/>
              </a:gs>
              <a:gs pos="83000">
                <a:srgbClr val="7030A0"/>
              </a:gs>
              <a:gs pos="100000">
                <a:schemeClr val="accent1">
                  <a:lumMod val="30000"/>
                  <a:lumOff val="70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rgbClr val="C840B8"/>
                </a:gs>
                <a:gs pos="74000">
                  <a:srgbClr val="7030A0"/>
                </a:gs>
                <a:gs pos="83000">
                  <a:srgbClr val="7030A0"/>
                </a:gs>
                <a:gs pos="100000">
                  <a:schemeClr val="accent1">
                    <a:lumMod val="30000"/>
                    <a:lumOff val="70000"/>
                  </a:scheme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Master's Degree</c:v>
                </c:pt>
                <c:pt idx="3">
                  <c:v>Associates Degree</c:v>
                </c:pt>
                <c:pt idx="4">
                  <c:v>Bachelor's Degree</c:v>
                </c:pt>
              </c:strCache>
            </c:strRef>
          </c:cat>
          <c:val>
            <c:numRef>
              <c:f>'Education by attrition'!$B$4:$B$9</c:f>
              <c:numCache>
                <c:formatCode>General</c:formatCode>
                <c:ptCount val="5"/>
                <c:pt idx="0">
                  <c:v>0</c:v>
                </c:pt>
                <c:pt idx="1">
                  <c:v>10</c:v>
                </c:pt>
                <c:pt idx="2">
                  <c:v>13</c:v>
                </c:pt>
                <c:pt idx="3">
                  <c:v>15</c:v>
                </c:pt>
                <c:pt idx="4">
                  <c:v>25</c:v>
                </c:pt>
              </c:numCache>
            </c:numRef>
          </c:val>
          <c:extLst>
            <c:ext xmlns:c16="http://schemas.microsoft.com/office/drawing/2014/chart" uri="{C3380CC4-5D6E-409C-BE32-E72D297353CC}">
              <c16:uniqueId val="{00000000-BA0D-41F1-81B2-D87CD528521B}"/>
            </c:ext>
          </c:extLst>
        </c:ser>
        <c:dLbls>
          <c:dLblPos val="outEnd"/>
          <c:showLegendKey val="0"/>
          <c:showVal val="1"/>
          <c:showCatName val="0"/>
          <c:showSerName val="0"/>
          <c:showPercent val="0"/>
          <c:showBubbleSize val="0"/>
        </c:dLbls>
        <c:gapWidth val="112"/>
        <c:axId val="911950175"/>
        <c:axId val="911938655"/>
      </c:barChart>
      <c:catAx>
        <c:axId val="9119501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911938655"/>
        <c:crosses val="autoZero"/>
        <c:auto val="1"/>
        <c:lblAlgn val="ctr"/>
        <c:lblOffset val="100"/>
        <c:noMultiLvlLbl val="0"/>
      </c:catAx>
      <c:valAx>
        <c:axId val="911938655"/>
        <c:scaling>
          <c:orientation val="minMax"/>
        </c:scaling>
        <c:delete val="1"/>
        <c:axPos val="b"/>
        <c:numFmt formatCode="General" sourceLinked="1"/>
        <c:majorTickMark val="out"/>
        <c:minorTickMark val="none"/>
        <c:tickLblPos val="nextTo"/>
        <c:crossAx val="91195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DATA_Excel.xlsx]Department wise attrition!Department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1507544943740908"/>
          <c:y val="4.9993968681455288E-2"/>
          <c:w val="0.4767972368459959"/>
          <c:h val="0.88125343108172316"/>
        </c:manualLayout>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C8-43E0-8F25-8D6A8202DC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C8-43E0-8F25-8D6A8202DC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C8-43E0-8F25-8D6A8202DC28}"/>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3.1746031746031744E-2</c:v>
                </c:pt>
                <c:pt idx="1">
                  <c:v>0.74603174603174605</c:v>
                </c:pt>
                <c:pt idx="2">
                  <c:v>0.22222222222222221</c:v>
                </c:pt>
              </c:numCache>
            </c:numRef>
          </c:val>
          <c:extLst>
            <c:ext xmlns:c16="http://schemas.microsoft.com/office/drawing/2014/chart" uri="{C3380CC4-5D6E-409C-BE32-E72D297353CC}">
              <c16:uniqueId val="{00000006-55C8-43E0-8F25-8D6A8202DC2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6628719634234177"/>
          <c:y val="0.2928710338345562"/>
          <c:w val="0.21262753199662304"/>
          <c:h val="0.41425793233088759"/>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602928"/>
              </a:solidFill>
              <a:latin typeface="Lato Black" panose="020F0502020204030203" pitchFamily="34" charset="0"/>
              <a:ea typeface="Lato Black" panose="020F0502020204030203" pitchFamily="34" charset="0"/>
              <a:cs typeface="Lato Black" panose="020F050202020403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C840B8">
                  <a:alpha val="91000"/>
                </a:srgbClr>
              </a:gs>
              <a:gs pos="79000">
                <a:srgbClr val="92D050"/>
              </a:gs>
              <a:gs pos="72000">
                <a:srgbClr val="C840B8"/>
              </a:gs>
              <a:gs pos="83000">
                <a:srgbClr val="C840B8"/>
              </a:gs>
              <a:gs pos="100000">
                <a:srgbClr val="C840B8"/>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C840B8">
                  <a:alpha val="91000"/>
                </a:srgbClr>
              </a:gs>
              <a:gs pos="79000">
                <a:srgbClr val="92D050"/>
              </a:gs>
              <a:gs pos="72000">
                <a:srgbClr val="C840B8"/>
              </a:gs>
              <a:gs pos="83000">
                <a:srgbClr val="C840B8"/>
              </a:gs>
              <a:gs pos="100000">
                <a:srgbClr val="C840B8"/>
              </a:gs>
            </a:gsLst>
            <a:lin ang="0" scaled="0"/>
          </a:gradFill>
          <a:ln>
            <a:noFill/>
          </a:ln>
          <a:effectLst/>
        </c:spPr>
      </c:pivotFmt>
    </c:pivotFmts>
    <c:plotArea>
      <c:layout/>
      <c:barChart>
        <c:barDir val="col"/>
        <c:grouping val="clustered"/>
        <c:varyColors val="0"/>
        <c:ser>
          <c:idx val="0"/>
          <c:order val="0"/>
          <c:tx>
            <c:strRef>
              <c:f>'Attrition by age group'!$B$3</c:f>
              <c:strCache>
                <c:ptCount val="1"/>
                <c:pt idx="0">
                  <c:v>Total</c:v>
                </c:pt>
              </c:strCache>
            </c:strRef>
          </c:tx>
          <c:spPr>
            <a:gradFill>
              <a:gsLst>
                <a:gs pos="0">
                  <a:srgbClr val="C840B8">
                    <a:alpha val="91000"/>
                  </a:srgbClr>
                </a:gs>
                <a:gs pos="79000">
                  <a:srgbClr val="92D050"/>
                </a:gs>
                <a:gs pos="72000">
                  <a:srgbClr val="C840B8"/>
                </a:gs>
                <a:gs pos="83000">
                  <a:srgbClr val="C840B8"/>
                </a:gs>
                <a:gs pos="100000">
                  <a:srgbClr val="C840B8"/>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Over 55</c:v>
                </c:pt>
                <c:pt idx="4">
                  <c:v>45 - 54</c:v>
                </c:pt>
              </c:strCache>
            </c:strRef>
          </c:cat>
          <c:val>
            <c:numRef>
              <c:f>'Attrition by age group'!$B$4:$B$9</c:f>
              <c:numCache>
                <c:formatCode>General</c:formatCode>
                <c:ptCount val="5"/>
                <c:pt idx="0">
                  <c:v>30</c:v>
                </c:pt>
                <c:pt idx="1">
                  <c:v>15</c:v>
                </c:pt>
                <c:pt idx="2">
                  <c:v>10</c:v>
                </c:pt>
                <c:pt idx="3">
                  <c:v>4</c:v>
                </c:pt>
                <c:pt idx="4">
                  <c:v>4</c:v>
                </c:pt>
              </c:numCache>
            </c:numRef>
          </c:val>
          <c:extLst>
            <c:ext xmlns:c16="http://schemas.microsoft.com/office/drawing/2014/chart" uri="{C3380CC4-5D6E-409C-BE32-E72D297353CC}">
              <c16:uniqueId val="{00000000-B6D4-4CDA-A37C-0E537BE017AB}"/>
            </c:ext>
          </c:extLst>
        </c:ser>
        <c:dLbls>
          <c:dLblPos val="outEnd"/>
          <c:showLegendKey val="0"/>
          <c:showVal val="1"/>
          <c:showCatName val="0"/>
          <c:showSerName val="0"/>
          <c:showPercent val="0"/>
          <c:showBubbleSize val="0"/>
        </c:dLbls>
        <c:gapWidth val="125"/>
        <c:overlap val="-27"/>
        <c:axId val="668327247"/>
        <c:axId val="668328687"/>
      </c:barChart>
      <c:catAx>
        <c:axId val="6683272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668328687"/>
        <c:crosses val="autoZero"/>
        <c:auto val="1"/>
        <c:lblAlgn val="ctr"/>
        <c:lblOffset val="100"/>
        <c:noMultiLvlLbl val="0"/>
      </c:catAx>
      <c:valAx>
        <c:axId val="668328687"/>
        <c:scaling>
          <c:orientation val="minMax"/>
        </c:scaling>
        <c:delete val="1"/>
        <c:axPos val="l"/>
        <c:numFmt formatCode="General" sourceLinked="1"/>
        <c:majorTickMark val="out"/>
        <c:minorTickMark val="none"/>
        <c:tickLblPos val="nextTo"/>
        <c:crossAx val="66832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6D8B6E41-0967-486C-BAED-C0736B501C35}">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F7088138-7A4F-4D09-B770-DBFAF614B106}">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plotArea>
      <cx:plotAreaRegion>
        <cx:series layoutId="treemap" uniqueId="{6D8B6E41-0967-486C-BAED-C0736B501C35}">
          <cx:dataLabels pos="inEnd">
            <cx:txPr>
              <a:bodyPr spcFirstLastPara="1" vertOverflow="ellipsis" horzOverflow="overflow" wrap="square" lIns="0" tIns="0" rIns="0" bIns="0" anchor="ctr" anchorCtr="1"/>
              <a:lstStyle/>
              <a:p>
                <a:pPr algn="ctr" rtl="0">
                  <a:defRPr sz="900">
                    <a:latin typeface="Lato Black" panose="020F0502020204030203" pitchFamily="34" charset="0"/>
                    <a:ea typeface="Lato Black" panose="020F0502020204030203" pitchFamily="34" charset="0"/>
                    <a:cs typeface="Lato Black" panose="020F0502020204030203" pitchFamily="34" charset="0"/>
                  </a:defRPr>
                </a:pPr>
                <a:endParaRPr lang="en-US" sz="900" b="0" i="0" u="none" strike="noStrike" baseline="0">
                  <a:solidFill>
                    <a:srgbClr val="FFFFFF"/>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1" value="0"/>
          </cx:dataLabels>
          <cx:dataId val="0"/>
          <cx:layoutPr>
            <cx:parentLabelLayout val="overlapping"/>
          </cx:layoutPr>
        </cx:series>
      </cx:plotAreaRegion>
    </cx:plotArea>
  </cx:chart>
  <cx:spPr>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F7088138-7A4F-4D09-B770-DBFAF614B106}">
          <cx:spPr>
            <a:gradFill>
              <a:gsLst>
                <a:gs pos="0">
                  <a:srgbClr val="00B050"/>
                </a:gs>
                <a:gs pos="89902">
                  <a:srgbClr val="92D050"/>
                </a:gs>
                <a:gs pos="16000">
                  <a:srgbClr val="00B050"/>
                </a:gs>
                <a:gs pos="83000">
                  <a:srgbClr val="92D050"/>
                </a:gs>
                <a:gs pos="100000">
                  <a:srgbClr val="00B050"/>
                </a:gs>
              </a:gsLst>
              <a:lin ang="5400000" scaled="1"/>
            </a:gradFill>
            <a:ln>
              <a:solidFill>
                <a:schemeClr val="accent1">
                  <a:alpha val="99000"/>
                </a:schemeClr>
              </a:solidFill>
            </a:ln>
          </cx:spPr>
          <cx:dataLabels>
            <cx:spPr>
              <a:noFill/>
              <a:ln>
                <a:noFill/>
              </a:ln>
            </cx:spPr>
            <cx:txPr>
              <a:bodyPr vertOverflow="overflow" horzOverflow="overflow" wrap="square" lIns="0" tIns="0" rIns="0" bIns="0"/>
              <a:lstStyle/>
              <a:p>
                <a:pPr algn="ctr" rtl="0">
                  <a:defRPr sz="1200" b="1" i="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defRPr>
                </a:pPr>
                <a:endParaRPr lang="en-US" sz="1200" b="1">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1" i="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defRPr>
            </a:pPr>
            <a:endParaRPr lang="en-US" sz="1200" b="1">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10.pn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9.svg"/><Relationship Id="rId17" Type="http://schemas.openxmlformats.org/officeDocument/2006/relationships/chart" Target="../charts/chart11.xml"/><Relationship Id="rId2" Type="http://schemas.openxmlformats.org/officeDocument/2006/relationships/image" Target="../media/image2.png"/><Relationship Id="rId16" Type="http://schemas.microsoft.com/office/2014/relationships/chartEx" Target="../charts/chartEx3.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png"/><Relationship Id="rId5" Type="http://schemas.openxmlformats.org/officeDocument/2006/relationships/image" Target="../media/image5.png"/><Relationship Id="rId15" Type="http://schemas.openxmlformats.org/officeDocument/2006/relationships/chart" Target="../charts/chart10.xml"/><Relationship Id="rId10" Type="http://schemas.openxmlformats.org/officeDocument/2006/relationships/chart" Target="../charts/chart9.xml"/><Relationship Id="rId19" Type="http://schemas.microsoft.com/office/2014/relationships/chartEx" Target="../charts/chartEx4.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1.svg"/></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8</xdr:col>
      <xdr:colOff>542925</xdr:colOff>
      <xdr:row>5</xdr:row>
      <xdr:rowOff>57150</xdr:rowOff>
    </xdr:from>
    <xdr:to>
      <xdr:col>11</xdr:col>
      <xdr:colOff>314325</xdr:colOff>
      <xdr:row>18</xdr:row>
      <xdr:rowOff>123825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268BF15E-9D80-4BD3-1477-31B5FF86A6C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229725" y="10572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561973</xdr:colOff>
      <xdr:row>10</xdr:row>
      <xdr:rowOff>95250</xdr:rowOff>
    </xdr:from>
    <xdr:to>
      <xdr:col>1</xdr:col>
      <xdr:colOff>380999</xdr:colOff>
      <xdr:row>18</xdr:row>
      <xdr:rowOff>0</xdr:rowOff>
    </xdr:to>
    <xdr:graphicFrame macro="">
      <xdr:nvGraphicFramePr>
        <xdr:cNvPr id="2" name="Chart 1">
          <a:extLst>
            <a:ext uri="{FF2B5EF4-FFF2-40B4-BE49-F238E27FC236}">
              <a16:creationId xmlns:a16="http://schemas.microsoft.com/office/drawing/2014/main" id="{9D3E6385-79C0-83CA-A5E6-DE83003A3E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9525</xdr:colOff>
      <xdr:row>4</xdr:row>
      <xdr:rowOff>19050</xdr:rowOff>
    </xdr:from>
    <xdr:to>
      <xdr:col>9</xdr:col>
      <xdr:colOff>466725</xdr:colOff>
      <xdr:row>17</xdr:row>
      <xdr:rowOff>85725</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C4DF0F35-C54F-FD5F-AB06-5474E04B7BD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781925" y="8191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171450</xdr:colOff>
      <xdr:row>10</xdr:row>
      <xdr:rowOff>123825</xdr:rowOff>
    </xdr:from>
    <xdr:to>
      <xdr:col>3</xdr:col>
      <xdr:colOff>2457450</xdr:colOff>
      <xdr:row>14</xdr:row>
      <xdr:rowOff>0</xdr:rowOff>
    </xdr:to>
    <xdr:graphicFrame macro="">
      <xdr:nvGraphicFramePr>
        <xdr:cNvPr id="5" name="Chart 4">
          <a:extLst>
            <a:ext uri="{FF2B5EF4-FFF2-40B4-BE49-F238E27FC236}">
              <a16:creationId xmlns:a16="http://schemas.microsoft.com/office/drawing/2014/main" id="{34FC3538-59DD-6A14-3522-15061BB5F1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104775</xdr:colOff>
      <xdr:row>3</xdr:row>
      <xdr:rowOff>66675</xdr:rowOff>
    </xdr:from>
    <xdr:to>
      <xdr:col>13</xdr:col>
      <xdr:colOff>561975</xdr:colOff>
      <xdr:row>16</xdr:row>
      <xdr:rowOff>133350</xdr:rowOff>
    </xdr:to>
    <mc:AlternateContent xmlns:mc="http://schemas.openxmlformats.org/markup-compatibility/2006" xmlns:a14="http://schemas.microsoft.com/office/drawing/2010/main">
      <mc:Choice Requires="a14">
        <xdr:graphicFrame macro="">
          <xdr:nvGraphicFramePr>
            <xdr:cNvPr id="6" name="Education Field 3">
              <a:extLst>
                <a:ext uri="{FF2B5EF4-FFF2-40B4-BE49-F238E27FC236}">
                  <a16:creationId xmlns:a16="http://schemas.microsoft.com/office/drawing/2014/main" id="{BAFA1EDF-904F-D5DB-C973-95B498491345}"/>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0620375" y="6667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276225</xdr:colOff>
      <xdr:row>2</xdr:row>
      <xdr:rowOff>9525</xdr:rowOff>
    </xdr:from>
    <xdr:to>
      <xdr:col>11</xdr:col>
      <xdr:colOff>47625</xdr:colOff>
      <xdr:row>15</xdr:row>
      <xdr:rowOff>76200</xdr:rowOff>
    </xdr:to>
    <mc:AlternateContent xmlns:mc="http://schemas.openxmlformats.org/markup-compatibility/2006" xmlns:a14="http://schemas.microsoft.com/office/drawing/2010/main">
      <mc:Choice Requires="a14">
        <xdr:graphicFrame macro="">
          <xdr:nvGraphicFramePr>
            <xdr:cNvPr id="2" name="Education Field">
              <a:extLst>
                <a:ext uri="{FF2B5EF4-FFF2-40B4-BE49-F238E27FC236}">
                  <a16:creationId xmlns:a16="http://schemas.microsoft.com/office/drawing/2014/main" id="{95E5FA66-3987-85EF-C798-DEC82DB42CDD}"/>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6972300" y="4095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180975</xdr:colOff>
      <xdr:row>1</xdr:row>
      <xdr:rowOff>190500</xdr:rowOff>
    </xdr:from>
    <xdr:to>
      <xdr:col>13</xdr:col>
      <xdr:colOff>638175</xdr:colOff>
      <xdr:row>15</xdr:row>
      <xdr:rowOff>57150</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D14F4B35-DEA6-8C32-5D12-BC0E518F796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8934450" y="3905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561975</xdr:colOff>
      <xdr:row>10</xdr:row>
      <xdr:rowOff>123824</xdr:rowOff>
    </xdr:from>
    <xdr:to>
      <xdr:col>2</xdr:col>
      <xdr:colOff>152400</xdr:colOff>
      <xdr:row>17</xdr:row>
      <xdr:rowOff>180974</xdr:rowOff>
    </xdr:to>
    <xdr:graphicFrame macro="">
      <xdr:nvGraphicFramePr>
        <xdr:cNvPr id="7" name="Chart 6">
          <a:extLst>
            <a:ext uri="{FF2B5EF4-FFF2-40B4-BE49-F238E27FC236}">
              <a16:creationId xmlns:a16="http://schemas.microsoft.com/office/drawing/2014/main" id="{C89788C5-876B-3393-4148-BDB72B9A5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614362</xdr:colOff>
      <xdr:row>2</xdr:row>
      <xdr:rowOff>123825</xdr:rowOff>
    </xdr:from>
    <xdr:to>
      <xdr:col>9</xdr:col>
      <xdr:colOff>385762</xdr:colOff>
      <xdr:row>16</xdr:row>
      <xdr:rowOff>66675</xdr:rowOff>
    </xdr:to>
    <xdr:graphicFrame macro="">
      <xdr:nvGraphicFramePr>
        <xdr:cNvPr id="2" name="Chart 1">
          <a:extLst>
            <a:ext uri="{FF2B5EF4-FFF2-40B4-BE49-F238E27FC236}">
              <a16:creationId xmlns:a16="http://schemas.microsoft.com/office/drawing/2014/main" id="{840790D4-47F5-BAE4-E255-729391F4D3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1071562</xdr:colOff>
      <xdr:row>12</xdr:row>
      <xdr:rowOff>142875</xdr:rowOff>
    </xdr:from>
    <xdr:to>
      <xdr:col>4</xdr:col>
      <xdr:colOff>366712</xdr:colOff>
      <xdr:row>26</xdr:row>
      <xdr:rowOff>85725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DA6B3F9-7C42-D1C1-8FF3-04D29BFD96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57787" y="25431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614362</xdr:colOff>
      <xdr:row>1</xdr:row>
      <xdr:rowOff>57150</xdr:rowOff>
    </xdr:from>
    <xdr:to>
      <xdr:col>9</xdr:col>
      <xdr:colOff>385762</xdr:colOff>
      <xdr:row>15</xdr:row>
      <xdr:rowOff>0</xdr:rowOff>
    </xdr:to>
    <xdr:graphicFrame macro="">
      <xdr:nvGraphicFramePr>
        <xdr:cNvPr id="2" name="Chart 1">
          <a:extLst>
            <a:ext uri="{FF2B5EF4-FFF2-40B4-BE49-F238E27FC236}">
              <a16:creationId xmlns:a16="http://schemas.microsoft.com/office/drawing/2014/main" id="{60A68359-4FF7-1BF1-87C7-2B0EE2C353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71437</xdr:colOff>
      <xdr:row>2</xdr:row>
      <xdr:rowOff>180975</xdr:rowOff>
    </xdr:from>
    <xdr:to>
      <xdr:col>9</xdr:col>
      <xdr:colOff>528637</xdr:colOff>
      <xdr:row>16</xdr:row>
      <xdr:rowOff>123825</xdr:rowOff>
    </xdr:to>
    <xdr:graphicFrame macro="">
      <xdr:nvGraphicFramePr>
        <xdr:cNvPr id="2" name="Chart 1">
          <a:extLst>
            <a:ext uri="{FF2B5EF4-FFF2-40B4-BE49-F238E27FC236}">
              <a16:creationId xmlns:a16="http://schemas.microsoft.com/office/drawing/2014/main" id="{8CA22BED-5266-314C-AA97-59B3C4C83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185737</xdr:colOff>
      <xdr:row>2</xdr:row>
      <xdr:rowOff>47625</xdr:rowOff>
    </xdr:from>
    <xdr:to>
      <xdr:col>13</xdr:col>
      <xdr:colOff>642937</xdr:colOff>
      <xdr:row>15</xdr:row>
      <xdr:rowOff>190500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E1DD0F2A-9472-E9CC-8C24-5E4EF638AB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81662" y="4476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838200</xdr:colOff>
      <xdr:row>8</xdr:row>
      <xdr:rowOff>19050</xdr:rowOff>
    </xdr:from>
    <xdr:to>
      <xdr:col>4</xdr:col>
      <xdr:colOff>152400</xdr:colOff>
      <xdr:row>21</xdr:row>
      <xdr:rowOff>85725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66041BE7-FD2C-EC68-13F0-DEA25C2FDDE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762125" y="16192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571500</xdr:colOff>
      <xdr:row>7</xdr:row>
      <xdr:rowOff>85725</xdr:rowOff>
    </xdr:from>
    <xdr:to>
      <xdr:col>7</xdr:col>
      <xdr:colOff>342900</xdr:colOff>
      <xdr:row>20</xdr:row>
      <xdr:rowOff>152400</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E896A7C4-0FA4-3489-CADC-FF0744DCD4EF}"/>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4010025" y="14859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3</xdr:col>
      <xdr:colOff>154640</xdr:colOff>
      <xdr:row>0</xdr:row>
      <xdr:rowOff>196102</xdr:rowOff>
    </xdr:from>
    <xdr:ext cx="13726645" cy="7419975"/>
    <xdr:grpSp>
      <xdr:nvGrpSpPr>
        <xdr:cNvPr id="2" name="Shape 2">
          <a:extLst>
            <a:ext uri="{FF2B5EF4-FFF2-40B4-BE49-F238E27FC236}">
              <a16:creationId xmlns:a16="http://schemas.microsoft.com/office/drawing/2014/main" id="{91EFC674-19FF-4499-BBA4-E445A7F67019}"/>
            </a:ext>
          </a:extLst>
        </xdr:cNvPr>
        <xdr:cNvGrpSpPr/>
      </xdr:nvGrpSpPr>
      <xdr:grpSpPr>
        <a:xfrm>
          <a:off x="2213721" y="196102"/>
          <a:ext cx="13726645" cy="7419975"/>
          <a:chOff x="0" y="60488"/>
          <a:chExt cx="10692000" cy="7439025"/>
        </a:xfrm>
      </xdr:grpSpPr>
      <xdr:grpSp>
        <xdr:nvGrpSpPr>
          <xdr:cNvPr id="3" name="Shape 29">
            <a:extLst>
              <a:ext uri="{FF2B5EF4-FFF2-40B4-BE49-F238E27FC236}">
                <a16:creationId xmlns:a16="http://schemas.microsoft.com/office/drawing/2014/main" id="{29E054D4-F0F4-9CD3-4652-906CA049DACE}"/>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7939F9F4-6940-4D95-51C9-D4690A5B7BD5}"/>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8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5" name="Shape 30">
              <a:extLst>
                <a:ext uri="{FF2B5EF4-FFF2-40B4-BE49-F238E27FC236}">
                  <a16:creationId xmlns:a16="http://schemas.microsoft.com/office/drawing/2014/main" id="{1D0249D1-92AD-061B-4216-5E056D06A537}"/>
                </a:ext>
              </a:extLst>
            </xdr:cNvPr>
            <xdr:cNvSpPr/>
          </xdr:nvSpPr>
          <xdr:spPr>
            <a:xfrm>
              <a:off x="1752600" y="190500"/>
              <a:ext cx="13468350" cy="7776000"/>
            </a:xfrm>
            <a:prstGeom prst="roundRect">
              <a:avLst>
                <a:gd name="adj" fmla="val 1112"/>
              </a:avLst>
            </a:prstGeom>
            <a:solidFill>
              <a:srgbClr val="1E4E79"/>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a:solidFill>
                    <a:schemeClr val="lt1"/>
                  </a:solidFill>
                  <a:latin typeface="Lato Black" panose="020F0502020204030203" pitchFamily="34" charset="0"/>
                  <a:ea typeface="Lato Black" panose="020F0502020204030203" pitchFamily="34" charset="0"/>
                  <a:cs typeface="Lato Black" panose="020F0502020204030203" pitchFamily="34" charset="0"/>
                  <a:sym typeface="Calibri"/>
                </a:rPr>
                <a:t>`</a:t>
              </a:r>
              <a:endParaRPr sz="18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6" name="Shape 31">
              <a:extLst>
                <a:ext uri="{FF2B5EF4-FFF2-40B4-BE49-F238E27FC236}">
                  <a16:creationId xmlns:a16="http://schemas.microsoft.com/office/drawing/2014/main" id="{46E867D1-30D4-021B-699B-DCD53A4EFFF6}"/>
                </a:ext>
              </a:extLst>
            </xdr:cNvPr>
            <xdr:cNvSpPr/>
          </xdr:nvSpPr>
          <xdr:spPr>
            <a:xfrm>
              <a:off x="1852449" y="270899"/>
              <a:ext cx="769160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800">
                <a:solidFill>
                  <a:srgbClr val="7030A0"/>
                </a:solidFill>
                <a:latin typeface="Lato Black" panose="020F0502020204030203" pitchFamily="34" charset="0"/>
                <a:ea typeface="Lato Black" panose="020F0502020204030203" pitchFamily="34" charset="0"/>
                <a:cs typeface="Lato Black" panose="020F0502020204030203" pitchFamily="34" charset="0"/>
                <a:sym typeface="Lato"/>
              </a:endParaRPr>
            </a:p>
          </xdr:txBody>
        </xdr:sp>
        <xdr:sp macro="" textlink="">
          <xdr:nvSpPr>
            <xdr:cNvPr id="7" name="Shape 32">
              <a:extLst>
                <a:ext uri="{FF2B5EF4-FFF2-40B4-BE49-F238E27FC236}">
                  <a16:creationId xmlns:a16="http://schemas.microsoft.com/office/drawing/2014/main" id="{30F160BD-D131-3750-10F0-E86C6F1AF77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8" name="Shape 33">
              <a:extLst>
                <a:ext uri="{FF2B5EF4-FFF2-40B4-BE49-F238E27FC236}">
                  <a16:creationId xmlns:a16="http://schemas.microsoft.com/office/drawing/2014/main" id="{484A023A-B249-2872-5155-43B7BECBE67D}"/>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latin typeface="Lato Black" panose="020F0502020204030203" pitchFamily="34" charset="0"/>
                <a:ea typeface="Lato Black" panose="020F0502020204030203" pitchFamily="34" charset="0"/>
                <a:cs typeface="Lato Black" panose="020F0502020204030203" pitchFamily="34" charset="0"/>
              </a:endParaRPr>
            </a:p>
          </xdr:txBody>
        </xdr:sp>
        <xdr:grpSp>
          <xdr:nvGrpSpPr>
            <xdr:cNvPr id="9" name="Shape 34">
              <a:extLst>
                <a:ext uri="{FF2B5EF4-FFF2-40B4-BE49-F238E27FC236}">
                  <a16:creationId xmlns:a16="http://schemas.microsoft.com/office/drawing/2014/main" id="{FAAB6F5C-393E-D28E-D835-1B59B4A97903}"/>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098C0EAF-5023-930E-1916-2C2F8054EA06}"/>
                  </a:ext>
                </a:extLst>
              </xdr:cNvPr>
              <xdr:cNvSpPr/>
            </xdr:nvSpPr>
            <xdr:spPr>
              <a:xfrm>
                <a:off x="1846116"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5" name="Shape 36">
                <a:extLst>
                  <a:ext uri="{FF2B5EF4-FFF2-40B4-BE49-F238E27FC236}">
                    <a16:creationId xmlns:a16="http://schemas.microsoft.com/office/drawing/2014/main" id="{9ACD0B0B-C736-F527-36D2-FAF2C751172D}"/>
                  </a:ext>
                </a:extLst>
              </xdr:cNvPr>
              <xdr:cNvSpPr/>
            </xdr:nvSpPr>
            <xdr:spPr>
              <a:xfrm>
                <a:off x="4546454"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6" name="Shape 37">
                <a:extLst>
                  <a:ext uri="{FF2B5EF4-FFF2-40B4-BE49-F238E27FC236}">
                    <a16:creationId xmlns:a16="http://schemas.microsoft.com/office/drawing/2014/main" id="{6AD1A388-4E36-88E6-8A8B-7B860B51A21E}"/>
                  </a:ext>
                </a:extLst>
              </xdr:cNvPr>
              <xdr:cNvSpPr/>
            </xdr:nvSpPr>
            <xdr:spPr>
              <a:xfrm>
                <a:off x="7246792"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7" name="Shape 38">
                <a:extLst>
                  <a:ext uri="{FF2B5EF4-FFF2-40B4-BE49-F238E27FC236}">
                    <a16:creationId xmlns:a16="http://schemas.microsoft.com/office/drawing/2014/main" id="{08007F32-DA37-581B-E843-A6E97E1147C8}"/>
                  </a:ext>
                </a:extLst>
              </xdr:cNvPr>
              <xdr:cNvSpPr/>
            </xdr:nvSpPr>
            <xdr:spPr>
              <a:xfrm>
                <a:off x="9947130"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8" name="Shape 39">
                <a:extLst>
                  <a:ext uri="{FF2B5EF4-FFF2-40B4-BE49-F238E27FC236}">
                    <a16:creationId xmlns:a16="http://schemas.microsoft.com/office/drawing/2014/main" id="{433FEE08-7700-209C-CD70-9A70BF45805C}"/>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10" name="Shape 40">
              <a:extLst>
                <a:ext uri="{FF2B5EF4-FFF2-40B4-BE49-F238E27FC236}">
                  <a16:creationId xmlns:a16="http://schemas.microsoft.com/office/drawing/2014/main" id="{04819E2A-6ABB-92B0-25AE-F983662D5C52}"/>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05EB18BB-8607-463B-B4D2-85F5F71CDA76}"/>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latin typeface="Lato Black" panose="020F0502020204030203" pitchFamily="34" charset="0"/>
                  <a:ea typeface="Lato Black" panose="020F0502020204030203" pitchFamily="34" charset="0"/>
                  <a:cs typeface="Lato Black" panose="020F0502020204030203" pitchFamily="34" charset="0"/>
                </a:endParaRPr>
              </a:p>
            </xdr:txBody>
          </xdr:sp>
          <xdr:cxnSp macro="">
            <xdr:nvCxnSpPr>
              <xdr:cNvPr id="23" name="Shape 42">
                <a:extLst>
                  <a:ext uri="{FF2B5EF4-FFF2-40B4-BE49-F238E27FC236}">
                    <a16:creationId xmlns:a16="http://schemas.microsoft.com/office/drawing/2014/main" id="{1E60DF5F-BE6D-5E47-B116-D52C7263BB89}"/>
                  </a:ext>
                </a:extLst>
              </xdr:cNvPr>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ABD3545B-8139-E6A4-4E9B-EDADE84ECDFB}"/>
                </a:ext>
              </a:extLst>
            </xdr:cNvPr>
            <xdr:cNvCxnSpPr/>
          </xdr:nvCxnSpPr>
          <xdr:spPr>
            <a:xfrm flipH="1">
              <a:off x="6021356" y="2667000"/>
              <a:ext cx="4464000" cy="2650"/>
            </a:xfrm>
            <a:prstGeom prst="straightConnector1">
              <a:avLst/>
            </a:prstGeom>
            <a:noFill/>
            <a:ln w="12700" cap="flat" cmpd="sng">
              <a:no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7C2225E7-6772-8863-E132-2FAE983A99E2}"/>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latin typeface="Lato Black" panose="020F0502020204030203" pitchFamily="34" charset="0"/>
                <a:ea typeface="Lato Black" panose="020F0502020204030203" pitchFamily="34" charset="0"/>
                <a:cs typeface="Lato Black" panose="020F0502020204030203" pitchFamily="34" charset="0"/>
              </a:endParaRPr>
            </a:p>
          </xdr:txBody>
        </xdr:sp>
        <xdr:cxnSp macro="">
          <xdr:nvCxnSpPr>
            <xdr:cNvPr id="13" name="Shape 45">
              <a:extLst>
                <a:ext uri="{FF2B5EF4-FFF2-40B4-BE49-F238E27FC236}">
                  <a16:creationId xmlns:a16="http://schemas.microsoft.com/office/drawing/2014/main" id="{3C67C63C-676A-6FD8-7F6A-2CA83C38C2F4}"/>
                </a:ext>
              </a:extLst>
            </xdr:cNvPr>
            <xdr:cNvCxnSpPr/>
          </xdr:nvCxnSpPr>
          <xdr:spPr>
            <a:xfrm rot="10800000" flipH="1">
              <a:off x="10917205" y="2678637"/>
              <a:ext cx="4068000" cy="5300"/>
            </a:xfrm>
            <a:prstGeom prst="straightConnector1">
              <a:avLst/>
            </a:prstGeom>
            <a:noFill/>
            <a:ln w="12700" cap="flat" cmpd="sng">
              <a:no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B353B1D6-4B72-3E0F-DA75-72CF617113C3}"/>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latin typeface="Lato Black" panose="020F0502020204030203" pitchFamily="34" charset="0"/>
                <a:ea typeface="Lato Black" panose="020F0502020204030203" pitchFamily="34" charset="0"/>
                <a:cs typeface="Lato Black" panose="020F0502020204030203" pitchFamily="34" charset="0"/>
              </a:endParaRPr>
            </a:p>
          </xdr:txBody>
        </xdr:sp>
        <xdr:cxnSp macro="">
          <xdr:nvCxnSpPr>
            <xdr:cNvPr id="15" name="Shape 47">
              <a:extLst>
                <a:ext uri="{FF2B5EF4-FFF2-40B4-BE49-F238E27FC236}">
                  <a16:creationId xmlns:a16="http://schemas.microsoft.com/office/drawing/2014/main" id="{11643DE3-96FB-8A86-F29C-CAA89478AB9E}"/>
                </a:ext>
              </a:extLst>
            </xdr:cNvPr>
            <xdr:cNvCxnSpPr/>
          </xdr:nvCxnSpPr>
          <xdr:spPr>
            <a:xfrm rot="10800000" flipH="1">
              <a:off x="1963706" y="2666813"/>
              <a:ext cx="3608419" cy="5265"/>
            </a:xfrm>
            <a:prstGeom prst="straightConnector1">
              <a:avLst/>
            </a:prstGeom>
            <a:noFill/>
            <a:ln w="12700" cap="flat" cmpd="sng">
              <a:no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FE13A151-2157-7C47-E076-0BB6CCBCFE74}"/>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latin typeface="Lato Black" panose="020F0502020204030203" pitchFamily="34" charset="0"/>
                <a:ea typeface="Lato Black" panose="020F0502020204030203" pitchFamily="34" charset="0"/>
                <a:cs typeface="Lato Black" panose="020F0502020204030203" pitchFamily="34" charset="0"/>
              </a:endParaRPr>
            </a:p>
          </xdr:txBody>
        </xdr:sp>
        <xdr:cxnSp macro="">
          <xdr:nvCxnSpPr>
            <xdr:cNvPr id="17" name="Shape 49">
              <a:extLst>
                <a:ext uri="{FF2B5EF4-FFF2-40B4-BE49-F238E27FC236}">
                  <a16:creationId xmlns:a16="http://schemas.microsoft.com/office/drawing/2014/main" id="{D714BBFF-00CC-E585-F9FE-46B271C10913}"/>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E20E3DBE-4751-BAB6-9C1C-19E1F350B09F}"/>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latin typeface="Lato Black" panose="020F0502020204030203" pitchFamily="34" charset="0"/>
                <a:ea typeface="Lato Black" panose="020F0502020204030203" pitchFamily="34" charset="0"/>
                <a:cs typeface="Lato Black" panose="020F0502020204030203" pitchFamily="34" charset="0"/>
              </a:endParaRPr>
            </a:p>
          </xdr:txBody>
        </xdr:sp>
        <xdr:cxnSp macro="">
          <xdr:nvCxnSpPr>
            <xdr:cNvPr id="19" name="Shape 51">
              <a:extLst>
                <a:ext uri="{FF2B5EF4-FFF2-40B4-BE49-F238E27FC236}">
                  <a16:creationId xmlns:a16="http://schemas.microsoft.com/office/drawing/2014/main" id="{2811E0EB-2E6C-E8C8-3D1E-383B05883202}"/>
                </a:ext>
              </a:extLst>
            </xdr:cNvPr>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7D7E67C3-9F8E-616F-A81F-9034E17EF665}"/>
                </a:ext>
              </a:extLst>
            </xdr:cNvPr>
            <xdr:cNvSpPr/>
          </xdr:nvSpPr>
          <xdr:spPr>
            <a:xfrm>
              <a:off x="12403477" y="5162550"/>
              <a:ext cx="2716418"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latin typeface="Lato Black" panose="020F0502020204030203" pitchFamily="34" charset="0"/>
                <a:ea typeface="Lato Black" panose="020F0502020204030203" pitchFamily="34" charset="0"/>
                <a:cs typeface="Lato Black" panose="020F0502020204030203" pitchFamily="34" charset="0"/>
              </a:endParaRPr>
            </a:p>
          </xdr:txBody>
        </xdr:sp>
        <xdr:cxnSp macro="">
          <xdr:nvCxnSpPr>
            <xdr:cNvPr id="21" name="Shape 53">
              <a:extLst>
                <a:ext uri="{FF2B5EF4-FFF2-40B4-BE49-F238E27FC236}">
                  <a16:creationId xmlns:a16="http://schemas.microsoft.com/office/drawing/2014/main" id="{53486B17-5B7E-B83B-8A4A-EED535C0FE8D}"/>
                </a:ext>
              </a:extLst>
            </xdr:cNvPr>
            <xdr:cNvCxnSpPr/>
          </xdr:nvCxnSpPr>
          <xdr:spPr>
            <a:xfrm rot="10800000" flipH="1">
              <a:off x="12529975" y="5617730"/>
              <a:ext cx="2448000" cy="5179"/>
            </a:xfrm>
            <a:prstGeom prst="straightConnector1">
              <a:avLst/>
            </a:prstGeom>
            <a:noFill/>
            <a:ln w="12700" cap="flat" cmpd="sng">
              <a:noFill/>
              <a:prstDash val="solid"/>
              <a:miter lim="800000"/>
              <a:headEnd type="none" w="sm" len="sm"/>
              <a:tailEnd type="none" w="sm" len="sm"/>
            </a:ln>
          </xdr:spPr>
        </xdr:cxnSp>
      </xdr:grpSp>
    </xdr:grpSp>
    <xdr:clientData fLocksWithSheet="0"/>
  </xdr:oneCellAnchor>
  <xdr:twoCellAnchor>
    <xdr:from>
      <xdr:col>3</xdr:col>
      <xdr:colOff>308161</xdr:colOff>
      <xdr:row>6</xdr:row>
      <xdr:rowOff>70036</xdr:rowOff>
    </xdr:from>
    <xdr:to>
      <xdr:col>6</xdr:col>
      <xdr:colOff>462242</xdr:colOff>
      <xdr:row>8</xdr:row>
      <xdr:rowOff>-1</xdr:rowOff>
    </xdr:to>
    <xdr:sp macro="" textlink="">
      <xdr:nvSpPr>
        <xdr:cNvPr id="29" name="TextBox 28">
          <a:extLst>
            <a:ext uri="{FF2B5EF4-FFF2-40B4-BE49-F238E27FC236}">
              <a16:creationId xmlns:a16="http://schemas.microsoft.com/office/drawing/2014/main" id="{EBCFED39-D6CA-56DA-7633-9F0C4C39E8D8}"/>
            </a:ext>
          </a:extLst>
        </xdr:cNvPr>
        <xdr:cNvSpPr txBox="1"/>
      </xdr:nvSpPr>
      <xdr:spPr>
        <a:xfrm>
          <a:off x="2367242" y="1246654"/>
          <a:ext cx="2213162" cy="322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a:solidFill>
                <a:srgbClr val="602928"/>
              </a:solidFill>
              <a:latin typeface="Lato Black" panose="020F0502020204030203" pitchFamily="34" charset="0"/>
              <a:ea typeface="Lato Black" panose="020F0502020204030203" pitchFamily="34" charset="0"/>
              <a:cs typeface="Lato Black" panose="020F0502020204030203" pitchFamily="34" charset="0"/>
            </a:rPr>
            <a:t>Total Employees</a:t>
          </a:r>
        </a:p>
      </xdr:txBody>
    </xdr:sp>
    <xdr:clientData/>
  </xdr:twoCellAnchor>
  <xdr:twoCellAnchor>
    <xdr:from>
      <xdr:col>3</xdr:col>
      <xdr:colOff>294154</xdr:colOff>
      <xdr:row>8</xdr:row>
      <xdr:rowOff>0</xdr:rowOff>
    </xdr:from>
    <xdr:to>
      <xdr:col>6</xdr:col>
      <xdr:colOff>280147</xdr:colOff>
      <xdr:row>10</xdr:row>
      <xdr:rowOff>42023</xdr:rowOff>
    </xdr:to>
    <xdr:sp macro="" textlink="KPI!A7">
      <xdr:nvSpPr>
        <xdr:cNvPr id="30" name="TextBox 29">
          <a:extLst>
            <a:ext uri="{FF2B5EF4-FFF2-40B4-BE49-F238E27FC236}">
              <a16:creationId xmlns:a16="http://schemas.microsoft.com/office/drawing/2014/main" id="{7DDC103C-71C0-8F74-92A7-3AB0587788A2}"/>
            </a:ext>
          </a:extLst>
        </xdr:cNvPr>
        <xdr:cNvSpPr txBox="1"/>
      </xdr:nvSpPr>
      <xdr:spPr>
        <a:xfrm>
          <a:off x="2353235" y="1568824"/>
          <a:ext cx="2045074" cy="434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9FA8BD2-EDC8-4999-85E9-129457633A05}" type="TxLink">
            <a:rPr lang="en-US" sz="2600" b="1" i="0" u="none" strike="noStrike">
              <a:solidFill>
                <a:srgbClr val="002060"/>
              </a:solidFill>
              <a:latin typeface="Calibri"/>
              <a:ea typeface="Calibri"/>
              <a:cs typeface="Calibri"/>
            </a:rPr>
            <a:pPr algn="ctr"/>
            <a:t>464</a:t>
          </a:fld>
          <a:endParaRPr lang="en-US" sz="2600" b="1">
            <a:solidFill>
              <a:srgbClr val="002060"/>
            </a:solidFill>
          </a:endParaRPr>
        </a:p>
      </xdr:txBody>
    </xdr:sp>
    <xdr:clientData/>
  </xdr:twoCellAnchor>
  <xdr:twoCellAnchor>
    <xdr:from>
      <xdr:col>7</xdr:col>
      <xdr:colOff>138392</xdr:colOff>
      <xdr:row>6</xdr:row>
      <xdr:rowOff>54348</xdr:rowOff>
    </xdr:from>
    <xdr:to>
      <xdr:col>10</xdr:col>
      <xdr:colOff>292473</xdr:colOff>
      <xdr:row>7</xdr:row>
      <xdr:rowOff>180414</xdr:rowOff>
    </xdr:to>
    <xdr:sp macro="" textlink="">
      <xdr:nvSpPr>
        <xdr:cNvPr id="31" name="TextBox 30">
          <a:extLst>
            <a:ext uri="{FF2B5EF4-FFF2-40B4-BE49-F238E27FC236}">
              <a16:creationId xmlns:a16="http://schemas.microsoft.com/office/drawing/2014/main" id="{F0B3A38B-8E6C-4065-B5D8-F429D6C38825}"/>
            </a:ext>
          </a:extLst>
        </xdr:cNvPr>
        <xdr:cNvSpPr txBox="1"/>
      </xdr:nvSpPr>
      <xdr:spPr>
        <a:xfrm>
          <a:off x="4942914" y="1230966"/>
          <a:ext cx="2213162" cy="322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p>
      </xdr:txBody>
    </xdr:sp>
    <xdr:clientData/>
  </xdr:twoCellAnchor>
  <xdr:twoCellAnchor>
    <xdr:from>
      <xdr:col>7</xdr:col>
      <xdr:colOff>278465</xdr:colOff>
      <xdr:row>7</xdr:row>
      <xdr:rowOff>180414</xdr:rowOff>
    </xdr:from>
    <xdr:to>
      <xdr:col>10</xdr:col>
      <xdr:colOff>264458</xdr:colOff>
      <xdr:row>10</xdr:row>
      <xdr:rowOff>26334</xdr:rowOff>
    </xdr:to>
    <xdr:sp macro="" textlink="KPI!B7">
      <xdr:nvSpPr>
        <xdr:cNvPr id="32" name="TextBox 31">
          <a:extLst>
            <a:ext uri="{FF2B5EF4-FFF2-40B4-BE49-F238E27FC236}">
              <a16:creationId xmlns:a16="http://schemas.microsoft.com/office/drawing/2014/main" id="{4DB474C7-42C6-4252-81DD-739B7A84CFB2}"/>
            </a:ext>
          </a:extLst>
        </xdr:cNvPr>
        <xdr:cNvSpPr txBox="1"/>
      </xdr:nvSpPr>
      <xdr:spPr>
        <a:xfrm>
          <a:off x="5082987" y="1553135"/>
          <a:ext cx="2045074" cy="434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4B85AD4-E84B-4C53-8B14-F9A8F743BCB6}" type="TxLink">
            <a:rPr lang="en-US" sz="2600" b="1" i="0" u="none" strike="noStrike">
              <a:solidFill>
                <a:srgbClr val="002060"/>
              </a:solidFill>
              <a:latin typeface="Calibri"/>
              <a:ea typeface="Calibri"/>
              <a:cs typeface="Calibri"/>
            </a:rPr>
            <a:pPr algn="ctr"/>
            <a:t>63</a:t>
          </a:fld>
          <a:endParaRPr lang="en-US" sz="2600" b="1">
            <a:solidFill>
              <a:srgbClr val="002060"/>
            </a:solidFill>
          </a:endParaRPr>
        </a:p>
      </xdr:txBody>
    </xdr:sp>
    <xdr:clientData/>
  </xdr:twoCellAnchor>
  <xdr:twoCellAnchor>
    <xdr:from>
      <xdr:col>11</xdr:col>
      <xdr:colOff>320488</xdr:colOff>
      <xdr:row>6</xdr:row>
      <xdr:rowOff>40341</xdr:rowOff>
    </xdr:from>
    <xdr:to>
      <xdr:col>14</xdr:col>
      <xdr:colOff>474569</xdr:colOff>
      <xdr:row>7</xdr:row>
      <xdr:rowOff>166407</xdr:rowOff>
    </xdr:to>
    <xdr:sp macro="" textlink="">
      <xdr:nvSpPr>
        <xdr:cNvPr id="35" name="TextBox 34">
          <a:extLst>
            <a:ext uri="{FF2B5EF4-FFF2-40B4-BE49-F238E27FC236}">
              <a16:creationId xmlns:a16="http://schemas.microsoft.com/office/drawing/2014/main" id="{40DCE498-7C2D-4ADD-A3D6-8E1643D5E3A6}"/>
            </a:ext>
          </a:extLst>
        </xdr:cNvPr>
        <xdr:cNvSpPr txBox="1"/>
      </xdr:nvSpPr>
      <xdr:spPr>
        <a:xfrm>
          <a:off x="7870451" y="1216959"/>
          <a:ext cx="2213162" cy="322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a:solidFill>
                <a:srgbClr val="602928"/>
              </a:solidFill>
              <a:latin typeface="Lato Black" panose="020F0502020204030203" pitchFamily="34" charset="0"/>
              <a:ea typeface="Lato Black" panose="020F0502020204030203" pitchFamily="34" charset="0"/>
              <a:cs typeface="Lato Black" panose="020F0502020204030203" pitchFamily="34" charset="0"/>
            </a:rPr>
            <a:t>Active</a:t>
          </a:r>
          <a:r>
            <a:rPr lang="en-US" sz="1800" b="1" i="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a:t>
          </a:r>
          <a:r>
            <a:rPr lang="en-US" sz="1800" b="1" i="0">
              <a:solidFill>
                <a:srgbClr val="602928"/>
              </a:solidFill>
              <a:latin typeface="Lato Black" panose="020F0502020204030203" pitchFamily="34" charset="0"/>
              <a:ea typeface="Lato Black" panose="020F0502020204030203" pitchFamily="34" charset="0"/>
              <a:cs typeface="Lato Black" panose="020F0502020204030203" pitchFamily="34" charset="0"/>
            </a:rPr>
            <a:t>Employees</a:t>
          </a:r>
        </a:p>
      </xdr:txBody>
    </xdr:sp>
    <xdr:clientData/>
  </xdr:twoCellAnchor>
  <xdr:twoCellAnchor>
    <xdr:from>
      <xdr:col>11</xdr:col>
      <xdr:colOff>348503</xdr:colOff>
      <xdr:row>7</xdr:row>
      <xdr:rowOff>138392</xdr:rowOff>
    </xdr:from>
    <xdr:to>
      <xdr:col>14</xdr:col>
      <xdr:colOff>334496</xdr:colOff>
      <xdr:row>9</xdr:row>
      <xdr:rowOff>180415</xdr:rowOff>
    </xdr:to>
    <xdr:sp macro="" textlink="KPI!D7">
      <xdr:nvSpPr>
        <xdr:cNvPr id="36" name="TextBox 35">
          <a:extLst>
            <a:ext uri="{FF2B5EF4-FFF2-40B4-BE49-F238E27FC236}">
              <a16:creationId xmlns:a16="http://schemas.microsoft.com/office/drawing/2014/main" id="{1F938685-26BE-4399-B21C-4A9651FC07EB}"/>
            </a:ext>
          </a:extLst>
        </xdr:cNvPr>
        <xdr:cNvSpPr txBox="1"/>
      </xdr:nvSpPr>
      <xdr:spPr>
        <a:xfrm>
          <a:off x="7898466" y="1511113"/>
          <a:ext cx="2045074" cy="434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ADB84CA-04CF-4D26-980F-27CC941A2026}" type="TxLink">
            <a:rPr lang="en-US" sz="2600" b="1"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401</a:t>
          </a:fld>
          <a:endParaRPr lang="en-US" sz="2600" b="1">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15</xdr:col>
      <xdr:colOff>376517</xdr:colOff>
      <xdr:row>6</xdr:row>
      <xdr:rowOff>26334</xdr:rowOff>
    </xdr:from>
    <xdr:to>
      <xdr:col>18</xdr:col>
      <xdr:colOff>530598</xdr:colOff>
      <xdr:row>7</xdr:row>
      <xdr:rowOff>152400</xdr:rowOff>
    </xdr:to>
    <xdr:sp macro="" textlink="">
      <xdr:nvSpPr>
        <xdr:cNvPr id="37" name="TextBox 36">
          <a:extLst>
            <a:ext uri="{FF2B5EF4-FFF2-40B4-BE49-F238E27FC236}">
              <a16:creationId xmlns:a16="http://schemas.microsoft.com/office/drawing/2014/main" id="{20BFEE90-E7CC-4D31-BD1A-37D2CFFE9FE6}"/>
            </a:ext>
          </a:extLst>
        </xdr:cNvPr>
        <xdr:cNvSpPr txBox="1"/>
      </xdr:nvSpPr>
      <xdr:spPr>
        <a:xfrm>
          <a:off x="10671921" y="1202952"/>
          <a:ext cx="2213162" cy="322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a:solidFill>
                <a:srgbClr val="602928"/>
              </a:solidFill>
              <a:latin typeface="Lato Black" panose="020F0502020204030203" pitchFamily="34" charset="0"/>
              <a:ea typeface="Lato Black" panose="020F0502020204030203" pitchFamily="34" charset="0"/>
              <a:cs typeface="Lato Black" panose="020F0502020204030203" pitchFamily="34" charset="0"/>
            </a:rPr>
            <a:t>Attirition</a:t>
          </a:r>
          <a:r>
            <a:rPr lang="en-US" sz="1800" b="1" i="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Rate</a:t>
          </a:r>
          <a:endParaRPr lang="en-US" sz="1800" b="1" i="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15</xdr:col>
      <xdr:colOff>362510</xdr:colOff>
      <xdr:row>7</xdr:row>
      <xdr:rowOff>152401</xdr:rowOff>
    </xdr:from>
    <xdr:to>
      <xdr:col>18</xdr:col>
      <xdr:colOff>348503</xdr:colOff>
      <xdr:row>9</xdr:row>
      <xdr:rowOff>194424</xdr:rowOff>
    </xdr:to>
    <xdr:sp macro="" textlink="KPI!F7">
      <xdr:nvSpPr>
        <xdr:cNvPr id="38" name="TextBox 37">
          <a:extLst>
            <a:ext uri="{FF2B5EF4-FFF2-40B4-BE49-F238E27FC236}">
              <a16:creationId xmlns:a16="http://schemas.microsoft.com/office/drawing/2014/main" id="{B8094B1E-A99B-484C-B3DB-6F9CE55B9D76}"/>
            </a:ext>
          </a:extLst>
        </xdr:cNvPr>
        <xdr:cNvSpPr txBox="1"/>
      </xdr:nvSpPr>
      <xdr:spPr>
        <a:xfrm>
          <a:off x="10657914" y="1525122"/>
          <a:ext cx="2045074" cy="434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97D2436-57ED-4454-8F0B-8DA18B4B01AD}"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14%</a:t>
          </a:fld>
          <a:endPar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19</xdr:col>
      <xdr:colOff>336175</xdr:colOff>
      <xdr:row>6</xdr:row>
      <xdr:rowOff>56029</xdr:rowOff>
    </xdr:from>
    <xdr:to>
      <xdr:col>22</xdr:col>
      <xdr:colOff>490257</xdr:colOff>
      <xdr:row>7</xdr:row>
      <xdr:rowOff>182095</xdr:rowOff>
    </xdr:to>
    <xdr:sp macro="" textlink="">
      <xdr:nvSpPr>
        <xdr:cNvPr id="41" name="TextBox 40">
          <a:extLst>
            <a:ext uri="{FF2B5EF4-FFF2-40B4-BE49-F238E27FC236}">
              <a16:creationId xmlns:a16="http://schemas.microsoft.com/office/drawing/2014/main" id="{8DD732CF-7442-4207-AFD6-D9CF358CEAA1}"/>
            </a:ext>
          </a:extLst>
        </xdr:cNvPr>
        <xdr:cNvSpPr txBox="1"/>
      </xdr:nvSpPr>
      <xdr:spPr>
        <a:xfrm>
          <a:off x="13377021" y="1232647"/>
          <a:ext cx="2213162" cy="322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a:solidFill>
                <a:srgbClr val="602928"/>
              </a:solidFill>
              <a:latin typeface="Lato Black" panose="020F0502020204030203" pitchFamily="34" charset="0"/>
              <a:ea typeface="Lato Black" panose="020F0502020204030203" pitchFamily="34" charset="0"/>
              <a:cs typeface="Lato Black" panose="020F0502020204030203" pitchFamily="34" charset="0"/>
            </a:rPr>
            <a:t>Average</a:t>
          </a:r>
          <a:r>
            <a:rPr lang="en-US" sz="1800" b="1" i="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Age</a:t>
          </a:r>
          <a:endParaRPr lang="en-US" sz="1800" b="1" i="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19</xdr:col>
      <xdr:colOff>322168</xdr:colOff>
      <xdr:row>7</xdr:row>
      <xdr:rowOff>182096</xdr:rowOff>
    </xdr:from>
    <xdr:to>
      <xdr:col>22</xdr:col>
      <xdr:colOff>308162</xdr:colOff>
      <xdr:row>10</xdr:row>
      <xdr:rowOff>28016</xdr:rowOff>
    </xdr:to>
    <xdr:sp macro="" textlink="KPI!C7">
      <xdr:nvSpPr>
        <xdr:cNvPr id="42" name="TextBox 41">
          <a:extLst>
            <a:ext uri="{FF2B5EF4-FFF2-40B4-BE49-F238E27FC236}">
              <a16:creationId xmlns:a16="http://schemas.microsoft.com/office/drawing/2014/main" id="{3FED74F1-4E7F-4D3A-B995-88AB5AE07FB2}"/>
            </a:ext>
          </a:extLst>
        </xdr:cNvPr>
        <xdr:cNvSpPr txBox="1"/>
      </xdr:nvSpPr>
      <xdr:spPr>
        <a:xfrm>
          <a:off x="13363014" y="1554817"/>
          <a:ext cx="2045074" cy="434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10E7ADD-FBA1-4244-80E1-3D38F251DFC0}"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37</a:t>
          </a:fld>
          <a:endPar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6</xdr:col>
      <xdr:colOff>140073</xdr:colOff>
      <xdr:row>6</xdr:row>
      <xdr:rowOff>98051</xdr:rowOff>
    </xdr:from>
    <xdr:ext cx="473449" cy="532280"/>
    <xdr:pic>
      <xdr:nvPicPr>
        <xdr:cNvPr id="43" name="image4.png">
          <a:extLst>
            <a:ext uri="{FF2B5EF4-FFF2-40B4-BE49-F238E27FC236}">
              <a16:creationId xmlns:a16="http://schemas.microsoft.com/office/drawing/2014/main" id="{1402325B-777D-479D-A9AC-2767BACDD1F1}"/>
            </a:ext>
          </a:extLst>
        </xdr:cNvPr>
        <xdr:cNvPicPr preferRelativeResize="0"/>
      </xdr:nvPicPr>
      <xdr:blipFill>
        <a:blip xmlns:r="http://schemas.openxmlformats.org/officeDocument/2006/relationships" r:embed="rId1" cstate="print"/>
        <a:stretch>
          <a:fillRect/>
        </a:stretch>
      </xdr:blipFill>
      <xdr:spPr>
        <a:xfrm>
          <a:off x="4258235" y="1274669"/>
          <a:ext cx="473449" cy="532280"/>
        </a:xfrm>
        <a:prstGeom prst="rect">
          <a:avLst/>
        </a:prstGeom>
        <a:noFill/>
      </xdr:spPr>
    </xdr:pic>
    <xdr:clientData fLocksWithSheet="0"/>
  </xdr:oneCellAnchor>
  <xdr:oneCellAnchor>
    <xdr:from>
      <xdr:col>14</xdr:col>
      <xdr:colOff>182096</xdr:colOff>
      <xdr:row>6</xdr:row>
      <xdr:rowOff>70036</xdr:rowOff>
    </xdr:from>
    <xdr:ext cx="434226" cy="476251"/>
    <xdr:pic>
      <xdr:nvPicPr>
        <xdr:cNvPr id="44" name="image5.png">
          <a:extLst>
            <a:ext uri="{FF2B5EF4-FFF2-40B4-BE49-F238E27FC236}">
              <a16:creationId xmlns:a16="http://schemas.microsoft.com/office/drawing/2014/main" id="{C5A5AF0B-B8C0-4E97-BF62-D139F0201225}"/>
            </a:ext>
          </a:extLst>
        </xdr:cNvPr>
        <xdr:cNvPicPr preferRelativeResize="0"/>
      </xdr:nvPicPr>
      <xdr:blipFill>
        <a:blip xmlns:r="http://schemas.openxmlformats.org/officeDocument/2006/relationships" r:embed="rId2" cstate="print"/>
        <a:stretch>
          <a:fillRect/>
        </a:stretch>
      </xdr:blipFill>
      <xdr:spPr>
        <a:xfrm>
          <a:off x="9791140" y="1246654"/>
          <a:ext cx="434226" cy="476251"/>
        </a:xfrm>
        <a:prstGeom prst="rect">
          <a:avLst/>
        </a:prstGeom>
        <a:noFill/>
      </xdr:spPr>
    </xdr:pic>
    <xdr:clientData fLocksWithSheet="0"/>
  </xdr:oneCellAnchor>
  <xdr:oneCellAnchor>
    <xdr:from>
      <xdr:col>22</xdr:col>
      <xdr:colOff>28015</xdr:colOff>
      <xdr:row>6</xdr:row>
      <xdr:rowOff>84043</xdr:rowOff>
    </xdr:from>
    <xdr:ext cx="504264" cy="504265"/>
    <xdr:pic>
      <xdr:nvPicPr>
        <xdr:cNvPr id="45" name="image6.png">
          <a:extLst>
            <a:ext uri="{FF2B5EF4-FFF2-40B4-BE49-F238E27FC236}">
              <a16:creationId xmlns:a16="http://schemas.microsoft.com/office/drawing/2014/main" id="{3E3BA51C-C82D-43EA-A296-CBF68EF1743A}"/>
            </a:ext>
          </a:extLst>
        </xdr:cNvPr>
        <xdr:cNvPicPr preferRelativeResize="0"/>
      </xdr:nvPicPr>
      <xdr:blipFill>
        <a:blip xmlns:r="http://schemas.openxmlformats.org/officeDocument/2006/relationships" r:embed="rId3" cstate="print"/>
        <a:stretch>
          <a:fillRect/>
        </a:stretch>
      </xdr:blipFill>
      <xdr:spPr>
        <a:xfrm>
          <a:off x="15127941" y="1260661"/>
          <a:ext cx="504264" cy="504265"/>
        </a:xfrm>
        <a:prstGeom prst="rect">
          <a:avLst/>
        </a:prstGeom>
        <a:noFill/>
      </xdr:spPr>
    </xdr:pic>
    <xdr:clientData fLocksWithSheet="0"/>
  </xdr:oneCellAnchor>
  <xdr:oneCellAnchor>
    <xdr:from>
      <xdr:col>18</xdr:col>
      <xdr:colOff>84043</xdr:colOff>
      <xdr:row>6</xdr:row>
      <xdr:rowOff>112058</xdr:rowOff>
    </xdr:from>
    <xdr:ext cx="462243" cy="420221"/>
    <xdr:pic>
      <xdr:nvPicPr>
        <xdr:cNvPr id="46" name="image2.png">
          <a:extLst>
            <a:ext uri="{FF2B5EF4-FFF2-40B4-BE49-F238E27FC236}">
              <a16:creationId xmlns:a16="http://schemas.microsoft.com/office/drawing/2014/main" id="{16DF4ACA-F5D2-4981-B6CA-85608F241EC6}"/>
            </a:ext>
          </a:extLst>
        </xdr:cNvPr>
        <xdr:cNvPicPr preferRelativeResize="0"/>
      </xdr:nvPicPr>
      <xdr:blipFill>
        <a:blip xmlns:r="http://schemas.openxmlformats.org/officeDocument/2006/relationships" r:embed="rId4" cstate="print"/>
        <a:stretch>
          <a:fillRect/>
        </a:stretch>
      </xdr:blipFill>
      <xdr:spPr>
        <a:xfrm>
          <a:off x="12438528" y="1288676"/>
          <a:ext cx="462243" cy="420221"/>
        </a:xfrm>
        <a:prstGeom prst="rect">
          <a:avLst/>
        </a:prstGeom>
        <a:noFill/>
      </xdr:spPr>
    </xdr:pic>
    <xdr:clientData fLocksWithSheet="0"/>
  </xdr:oneCellAnchor>
  <xdr:oneCellAnchor>
    <xdr:from>
      <xdr:col>10</xdr:col>
      <xdr:colOff>42022</xdr:colOff>
      <xdr:row>6</xdr:row>
      <xdr:rowOff>84044</xdr:rowOff>
    </xdr:from>
    <xdr:ext cx="602316" cy="504264"/>
    <xdr:pic>
      <xdr:nvPicPr>
        <xdr:cNvPr id="47" name="image7.png">
          <a:extLst>
            <a:ext uri="{FF2B5EF4-FFF2-40B4-BE49-F238E27FC236}">
              <a16:creationId xmlns:a16="http://schemas.microsoft.com/office/drawing/2014/main" id="{A6FD4133-403C-4C3F-9001-E86CDCC1F08F}"/>
            </a:ext>
          </a:extLst>
        </xdr:cNvPr>
        <xdr:cNvPicPr preferRelativeResize="0"/>
      </xdr:nvPicPr>
      <xdr:blipFill>
        <a:blip xmlns:r="http://schemas.openxmlformats.org/officeDocument/2006/relationships" r:embed="rId5" cstate="print"/>
        <a:stretch>
          <a:fillRect/>
        </a:stretch>
      </xdr:blipFill>
      <xdr:spPr>
        <a:xfrm>
          <a:off x="6905625" y="1260662"/>
          <a:ext cx="602316" cy="504264"/>
        </a:xfrm>
        <a:prstGeom prst="rect">
          <a:avLst/>
        </a:prstGeom>
        <a:noFill/>
      </xdr:spPr>
    </xdr:pic>
    <xdr:clientData fLocksWithSheet="0"/>
  </xdr:oneCellAnchor>
  <xdr:twoCellAnchor>
    <xdr:from>
      <xdr:col>4</xdr:col>
      <xdr:colOff>490258</xdr:colOff>
      <xdr:row>2</xdr:row>
      <xdr:rowOff>0</xdr:rowOff>
    </xdr:from>
    <xdr:to>
      <xdr:col>14</xdr:col>
      <xdr:colOff>280147</xdr:colOff>
      <xdr:row>4</xdr:row>
      <xdr:rowOff>154081</xdr:rowOff>
    </xdr:to>
    <xdr:sp macro="" textlink="">
      <xdr:nvSpPr>
        <xdr:cNvPr id="48" name="TextBox 47">
          <a:extLst>
            <a:ext uri="{FF2B5EF4-FFF2-40B4-BE49-F238E27FC236}">
              <a16:creationId xmlns:a16="http://schemas.microsoft.com/office/drawing/2014/main" id="{17ADB719-3F43-BACF-0A35-0C20EB4C970C}"/>
            </a:ext>
          </a:extLst>
        </xdr:cNvPr>
        <xdr:cNvSpPr txBox="1"/>
      </xdr:nvSpPr>
      <xdr:spPr>
        <a:xfrm>
          <a:off x="3235699" y="392206"/>
          <a:ext cx="6653492" cy="546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a:solidFill>
                <a:srgbClr val="002060"/>
              </a:solidFill>
              <a:latin typeface="Lato Black" panose="020F0502020204030203" pitchFamily="34" charset="0"/>
              <a:ea typeface="Lato Black" panose="020F0502020204030203" pitchFamily="34" charset="0"/>
              <a:cs typeface="Lato Black" panose="020F0502020204030203" pitchFamily="34" charset="0"/>
            </a:rPr>
            <a:t>HR ANALYTICS</a:t>
          </a:r>
          <a:r>
            <a:rPr lang="en-US" sz="3600" baseline="0">
              <a:solidFill>
                <a:srgbClr val="002060"/>
              </a:solidFill>
              <a:latin typeface="Lato Black" panose="020F0502020204030203" pitchFamily="34" charset="0"/>
              <a:ea typeface="Lato Black" panose="020F0502020204030203" pitchFamily="34" charset="0"/>
              <a:cs typeface="Lato Black" panose="020F0502020204030203" pitchFamily="34" charset="0"/>
            </a:rPr>
            <a:t> DASHBOARD</a:t>
          </a:r>
          <a:endParaRPr lang="en-US" sz="3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3</xdr:col>
      <xdr:colOff>322168</xdr:colOff>
      <xdr:row>1</xdr:row>
      <xdr:rowOff>182095</xdr:rowOff>
    </xdr:from>
    <xdr:ext cx="742391" cy="546287"/>
    <xdr:pic>
      <xdr:nvPicPr>
        <xdr:cNvPr id="49" name="image1.png">
          <a:extLst>
            <a:ext uri="{FF2B5EF4-FFF2-40B4-BE49-F238E27FC236}">
              <a16:creationId xmlns:a16="http://schemas.microsoft.com/office/drawing/2014/main" id="{45514F64-8101-4DFF-A497-BEC3208812CF}"/>
            </a:ext>
          </a:extLst>
        </xdr:cNvPr>
        <xdr:cNvPicPr preferRelativeResize="0"/>
      </xdr:nvPicPr>
      <xdr:blipFill>
        <a:blip xmlns:r="http://schemas.openxmlformats.org/officeDocument/2006/relationships" r:embed="rId6" cstate="print"/>
        <a:stretch>
          <a:fillRect/>
        </a:stretch>
      </xdr:blipFill>
      <xdr:spPr>
        <a:xfrm>
          <a:off x="2381249" y="378198"/>
          <a:ext cx="742391" cy="546287"/>
        </a:xfrm>
        <a:prstGeom prst="rect">
          <a:avLst/>
        </a:prstGeom>
        <a:noFill/>
      </xdr:spPr>
    </xdr:pic>
    <xdr:clientData fLocksWithSheet="0"/>
  </xdr:oneCellAnchor>
  <xdr:oneCellAnchor>
    <xdr:from>
      <xdr:col>15</xdr:col>
      <xdr:colOff>98051</xdr:colOff>
      <xdr:row>1</xdr:row>
      <xdr:rowOff>112058</xdr:rowOff>
    </xdr:from>
    <xdr:ext cx="695885" cy="700367"/>
    <xdr:pic>
      <xdr:nvPicPr>
        <xdr:cNvPr id="50" name="image3.png">
          <a:extLst>
            <a:ext uri="{FF2B5EF4-FFF2-40B4-BE49-F238E27FC236}">
              <a16:creationId xmlns:a16="http://schemas.microsoft.com/office/drawing/2014/main" id="{44B96EFF-5A09-42B5-AC64-EFB5E73B1340}"/>
            </a:ext>
          </a:extLst>
        </xdr:cNvPr>
        <xdr:cNvPicPr preferRelativeResize="0"/>
      </xdr:nvPicPr>
      <xdr:blipFill>
        <a:blip xmlns:r="http://schemas.openxmlformats.org/officeDocument/2006/relationships" r:embed="rId7" cstate="print"/>
        <a:stretch>
          <a:fillRect/>
        </a:stretch>
      </xdr:blipFill>
      <xdr:spPr>
        <a:xfrm>
          <a:off x="10393455" y="308161"/>
          <a:ext cx="695885" cy="700367"/>
        </a:xfrm>
        <a:prstGeom prst="rect">
          <a:avLst/>
        </a:prstGeom>
        <a:noFill/>
      </xdr:spPr>
    </xdr:pic>
    <xdr:clientData fLocksWithSheet="0"/>
  </xdr:oneCellAnchor>
  <xdr:twoCellAnchor>
    <xdr:from>
      <xdr:col>16</xdr:col>
      <xdr:colOff>280148</xdr:colOff>
      <xdr:row>1</xdr:row>
      <xdr:rowOff>70037</xdr:rowOff>
    </xdr:from>
    <xdr:to>
      <xdr:col>18</xdr:col>
      <xdr:colOff>252133</xdr:colOff>
      <xdr:row>5</xdr:row>
      <xdr:rowOff>42022</xdr:rowOff>
    </xdr:to>
    <xdr:sp macro="" textlink="">
      <xdr:nvSpPr>
        <xdr:cNvPr id="51" name="TextBox 50">
          <a:extLst>
            <a:ext uri="{FF2B5EF4-FFF2-40B4-BE49-F238E27FC236}">
              <a16:creationId xmlns:a16="http://schemas.microsoft.com/office/drawing/2014/main" id="{EB0967B6-85F9-0A38-CD28-E33FB848D073}"/>
            </a:ext>
          </a:extLst>
        </xdr:cNvPr>
        <xdr:cNvSpPr txBox="1"/>
      </xdr:nvSpPr>
      <xdr:spPr>
        <a:xfrm>
          <a:off x="11261913" y="266140"/>
          <a:ext cx="1344705" cy="756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02928"/>
              </a:solidFill>
              <a:latin typeface="Lato Black" panose="020F0502020204030203" pitchFamily="34" charset="0"/>
              <a:ea typeface="Lato Black" panose="020F0502020204030203" pitchFamily="34" charset="0"/>
              <a:cs typeface="Lato Black" panose="020F0502020204030203" pitchFamily="34" charset="0"/>
            </a:rPr>
            <a:t>Job Satisfaction  Rating</a:t>
          </a:r>
        </a:p>
      </xdr:txBody>
    </xdr:sp>
    <xdr:clientData/>
  </xdr:twoCellAnchor>
  <xdr:twoCellAnchor>
    <xdr:from>
      <xdr:col>17</xdr:col>
      <xdr:colOff>364190</xdr:colOff>
      <xdr:row>1</xdr:row>
      <xdr:rowOff>112059</xdr:rowOff>
    </xdr:from>
    <xdr:to>
      <xdr:col>20</xdr:col>
      <xdr:colOff>406212</xdr:colOff>
      <xdr:row>5</xdr:row>
      <xdr:rowOff>28015</xdr:rowOff>
    </xdr:to>
    <xdr:graphicFrame macro="">
      <xdr:nvGraphicFramePr>
        <xdr:cNvPr id="54" name="Chart 53">
          <a:extLst>
            <a:ext uri="{FF2B5EF4-FFF2-40B4-BE49-F238E27FC236}">
              <a16:creationId xmlns:a16="http://schemas.microsoft.com/office/drawing/2014/main" id="{4593411B-9C96-439B-AED3-53355A868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420220</xdr:colOff>
      <xdr:row>2</xdr:row>
      <xdr:rowOff>112059</xdr:rowOff>
    </xdr:from>
    <xdr:to>
      <xdr:col>19</xdr:col>
      <xdr:colOff>210109</xdr:colOff>
      <xdr:row>4</xdr:row>
      <xdr:rowOff>14007</xdr:rowOff>
    </xdr:to>
    <xdr:sp macro="" textlink="rating!$B$6">
      <xdr:nvSpPr>
        <xdr:cNvPr id="55" name="TextBox 54">
          <a:extLst>
            <a:ext uri="{FF2B5EF4-FFF2-40B4-BE49-F238E27FC236}">
              <a16:creationId xmlns:a16="http://schemas.microsoft.com/office/drawing/2014/main" id="{264D0F1E-DDE9-3234-11C0-E11106DBF8BC}"/>
            </a:ext>
          </a:extLst>
        </xdr:cNvPr>
        <xdr:cNvSpPr txBox="1"/>
      </xdr:nvSpPr>
      <xdr:spPr>
        <a:xfrm>
          <a:off x="12774705" y="504265"/>
          <a:ext cx="476250" cy="294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006B9B-FB56-4D93-BA4D-04E6AB5AD3E5}" type="TxLink">
            <a:rPr lang="en-US" sz="12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t>3.1</a:t>
          </a:fld>
          <a:endParaRPr lang="en-US" sz="11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3</xdr:col>
      <xdr:colOff>168086</xdr:colOff>
      <xdr:row>17</xdr:row>
      <xdr:rowOff>132736</xdr:rowOff>
    </xdr:from>
    <xdr:to>
      <xdr:col>8</xdr:col>
      <xdr:colOff>602317</xdr:colOff>
      <xdr:row>24</xdr:row>
      <xdr:rowOff>7337</xdr:rowOff>
    </xdr:to>
    <xdr:grpSp>
      <xdr:nvGrpSpPr>
        <xdr:cNvPr id="59" name="Group 58">
          <a:extLst>
            <a:ext uri="{FF2B5EF4-FFF2-40B4-BE49-F238E27FC236}">
              <a16:creationId xmlns:a16="http://schemas.microsoft.com/office/drawing/2014/main" id="{2BBEA093-2872-9CF6-79D4-4B31445EC05F}"/>
            </a:ext>
          </a:extLst>
        </xdr:cNvPr>
        <xdr:cNvGrpSpPr/>
      </xdr:nvGrpSpPr>
      <xdr:grpSpPr>
        <a:xfrm>
          <a:off x="2227167" y="3466486"/>
          <a:ext cx="3866032" cy="1247322"/>
          <a:chOff x="2227167" y="3466486"/>
          <a:chExt cx="3866032" cy="1247322"/>
        </a:xfrm>
      </xdr:grpSpPr>
      <xdr:graphicFrame macro="">
        <xdr:nvGraphicFramePr>
          <xdr:cNvPr id="34" name="Chart 33">
            <a:extLst>
              <a:ext uri="{FF2B5EF4-FFF2-40B4-BE49-F238E27FC236}">
                <a16:creationId xmlns:a16="http://schemas.microsoft.com/office/drawing/2014/main" id="{C6F8AA8F-2C68-4C9B-B490-2F42A433CEB9}"/>
              </a:ext>
            </a:extLst>
          </xdr:cNvPr>
          <xdr:cNvGraphicFramePr>
            <a:graphicFrameLocks/>
          </xdr:cNvGraphicFramePr>
        </xdr:nvGraphicFramePr>
        <xdr:xfrm>
          <a:off x="2227167" y="3466486"/>
          <a:ext cx="1428751" cy="1247322"/>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39" name="Chart 38">
            <a:extLst>
              <a:ext uri="{FF2B5EF4-FFF2-40B4-BE49-F238E27FC236}">
                <a16:creationId xmlns:a16="http://schemas.microsoft.com/office/drawing/2014/main" id="{8053780E-7578-4DA5-A10F-2D34E6F3ED0E}"/>
              </a:ext>
            </a:extLst>
          </xdr:cNvPr>
          <xdr:cNvGraphicFramePr>
            <a:graphicFrameLocks/>
          </xdr:cNvGraphicFramePr>
        </xdr:nvGraphicFramePr>
        <xdr:xfrm>
          <a:off x="4692463" y="3473824"/>
          <a:ext cx="1400736" cy="1232647"/>
        </xdr:xfrm>
        <a:graphic>
          <a:graphicData uri="http://schemas.openxmlformats.org/drawingml/2006/chart">
            <c:chart xmlns:c="http://schemas.openxmlformats.org/drawingml/2006/chart" xmlns:r="http://schemas.openxmlformats.org/officeDocument/2006/relationships" r:id="rId10"/>
          </a:graphicData>
        </a:graphic>
      </xdr:graphicFrame>
      <xdr:pic>
        <xdr:nvPicPr>
          <xdr:cNvPr id="52" name="Graphic 51" descr="Man with solid fill">
            <a:extLst>
              <a:ext uri="{FF2B5EF4-FFF2-40B4-BE49-F238E27FC236}">
                <a16:creationId xmlns:a16="http://schemas.microsoft.com/office/drawing/2014/main" id="{DA9CC767-CD55-72D3-6624-009A9693980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328272" y="3820926"/>
            <a:ext cx="812426" cy="812426"/>
          </a:xfrm>
          <a:prstGeom prst="rect">
            <a:avLst/>
          </a:prstGeom>
        </xdr:spPr>
      </xdr:pic>
      <xdr:pic>
        <xdr:nvPicPr>
          <xdr:cNvPr id="56" name="Graphic 55" descr="Woman with solid fill">
            <a:extLst>
              <a:ext uri="{FF2B5EF4-FFF2-40B4-BE49-F238E27FC236}">
                <a16:creationId xmlns:a16="http://schemas.microsoft.com/office/drawing/2014/main" id="{788AC2E8-5951-AD8B-19EA-04093C02A9B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291728" y="3813923"/>
            <a:ext cx="826433" cy="826433"/>
          </a:xfrm>
          <a:prstGeom prst="rect">
            <a:avLst/>
          </a:prstGeom>
        </xdr:spPr>
      </xdr:pic>
      <xdr:sp macro="" textlink="General!$B$8">
        <xdr:nvSpPr>
          <xdr:cNvPr id="57" name="TextBox 56">
            <a:extLst>
              <a:ext uri="{FF2B5EF4-FFF2-40B4-BE49-F238E27FC236}">
                <a16:creationId xmlns:a16="http://schemas.microsoft.com/office/drawing/2014/main" id="{A10E71DF-A30F-4AE5-AADC-F38276CDDEEC}"/>
              </a:ext>
            </a:extLst>
          </xdr:cNvPr>
          <xdr:cNvSpPr txBox="1"/>
        </xdr:nvSpPr>
        <xdr:spPr>
          <a:xfrm>
            <a:off x="2647390" y="3978086"/>
            <a:ext cx="602316" cy="322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CC26E93-58C5-45A9-9863-0F52C0133B94}" type="TxLink">
              <a:rPr lang="en-US" sz="18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190</a:t>
            </a:fld>
            <a:endParaRPr lang="en-US" sz="1800" b="1">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General!$B$9">
        <xdr:nvSpPr>
          <xdr:cNvPr id="58" name="TextBox 57">
            <a:extLst>
              <a:ext uri="{FF2B5EF4-FFF2-40B4-BE49-F238E27FC236}">
                <a16:creationId xmlns:a16="http://schemas.microsoft.com/office/drawing/2014/main" id="{BC74756E-089A-484F-B11C-EEDEDD5A03C9}"/>
              </a:ext>
            </a:extLst>
          </xdr:cNvPr>
          <xdr:cNvSpPr txBox="1"/>
        </xdr:nvSpPr>
        <xdr:spPr>
          <a:xfrm>
            <a:off x="5098677" y="3950074"/>
            <a:ext cx="602316" cy="322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139306-2812-45AE-A35A-127DA53C2CFF}" type="TxLink">
              <a:rPr lang="en-US" sz="1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274</a:t>
            </a:fld>
            <a:endParaRPr lang="en-US" sz="1800" b="1">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3</xdr:col>
      <xdr:colOff>154640</xdr:colOff>
      <xdr:row>0</xdr:row>
      <xdr:rowOff>196102</xdr:rowOff>
    </xdr:from>
    <xdr:to>
      <xdr:col>5</xdr:col>
      <xdr:colOff>350744</xdr:colOff>
      <xdr:row>0</xdr:row>
      <xdr:rowOff>196102</xdr:rowOff>
    </xdr:to>
    <xdr:cxnSp macro="">
      <xdr:nvCxnSpPr>
        <xdr:cNvPr id="65" name="Straight Connector 64">
          <a:extLst>
            <a:ext uri="{FF2B5EF4-FFF2-40B4-BE49-F238E27FC236}">
              <a16:creationId xmlns:a16="http://schemas.microsoft.com/office/drawing/2014/main" id="{96F897F2-7DAC-4BA1-BE44-E308D4F3E9E4}"/>
            </a:ext>
          </a:extLst>
        </xdr:cNvPr>
        <xdr:cNvCxnSpPr/>
      </xdr:nvCxnSpPr>
      <xdr:spPr>
        <a:xfrm>
          <a:off x="2213721" y="196102"/>
          <a:ext cx="1568824"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434228</xdr:colOff>
      <xdr:row>11</xdr:row>
      <xdr:rowOff>140074</xdr:rowOff>
    </xdr:from>
    <xdr:to>
      <xdr:col>8</xdr:col>
      <xdr:colOff>308162</xdr:colOff>
      <xdr:row>13</xdr:row>
      <xdr:rowOff>84044</xdr:rowOff>
    </xdr:to>
    <xdr:sp macro="" textlink="">
      <xdr:nvSpPr>
        <xdr:cNvPr id="69" name="TextBox 68">
          <a:extLst>
            <a:ext uri="{FF2B5EF4-FFF2-40B4-BE49-F238E27FC236}">
              <a16:creationId xmlns:a16="http://schemas.microsoft.com/office/drawing/2014/main" id="{0E3438C1-6753-D933-1CAA-76035E1FE6D5}"/>
            </a:ext>
          </a:extLst>
        </xdr:cNvPr>
        <xdr:cNvSpPr txBox="1"/>
      </xdr:nvSpPr>
      <xdr:spPr>
        <a:xfrm>
          <a:off x="2493309" y="2297206"/>
          <a:ext cx="3305735"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solidFill>
                <a:srgbClr val="602928"/>
              </a:solidFill>
              <a:latin typeface="Lato Black" panose="020F0502020204030203" pitchFamily="34" charset="0"/>
              <a:ea typeface="Lato Black" panose="020F0502020204030203" pitchFamily="34" charset="0"/>
              <a:cs typeface="Lato Black" panose="020F0502020204030203" pitchFamily="34" charset="0"/>
            </a:rPr>
            <a:t>Total Employees By Gender</a:t>
          </a:r>
        </a:p>
      </xdr:txBody>
    </xdr:sp>
    <xdr:clientData/>
  </xdr:twoCellAnchor>
  <xdr:twoCellAnchor editAs="oneCell">
    <xdr:from>
      <xdr:col>4</xdr:col>
      <xdr:colOff>546287</xdr:colOff>
      <xdr:row>16</xdr:row>
      <xdr:rowOff>28014</xdr:rowOff>
    </xdr:from>
    <xdr:to>
      <xdr:col>7</xdr:col>
      <xdr:colOff>316006</xdr:colOff>
      <xdr:row>19</xdr:row>
      <xdr:rowOff>84044</xdr:rowOff>
    </xdr:to>
    <mc:AlternateContent xmlns:mc="http://schemas.openxmlformats.org/markup-compatibility/2006" xmlns:a14="http://schemas.microsoft.com/office/drawing/2010/main">
      <mc:Choice Requires="a14">
        <xdr:graphicFrame macro="">
          <xdr:nvGraphicFramePr>
            <xdr:cNvPr id="70" name="Gender 3">
              <a:extLst>
                <a:ext uri="{FF2B5EF4-FFF2-40B4-BE49-F238E27FC236}">
                  <a16:creationId xmlns:a16="http://schemas.microsoft.com/office/drawing/2014/main" id="{26444F00-0E65-4204-8A8A-FCE166FA6D2C}"/>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3291728" y="3165661"/>
              <a:ext cx="1828800" cy="644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350183</xdr:colOff>
      <xdr:row>13</xdr:row>
      <xdr:rowOff>98052</xdr:rowOff>
    </xdr:from>
    <xdr:to>
      <xdr:col>16</xdr:col>
      <xdr:colOff>238124</xdr:colOff>
      <xdr:row>24</xdr:row>
      <xdr:rowOff>70036</xdr:rowOff>
    </xdr:to>
    <xdr:graphicFrame macro="">
      <xdr:nvGraphicFramePr>
        <xdr:cNvPr id="71" name="Chart 70">
          <a:extLst>
            <a:ext uri="{FF2B5EF4-FFF2-40B4-BE49-F238E27FC236}">
              <a16:creationId xmlns:a16="http://schemas.microsoft.com/office/drawing/2014/main" id="{CB39F18D-91D5-434E-A7D2-12AD18E57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350184</xdr:colOff>
      <xdr:row>11</xdr:row>
      <xdr:rowOff>112060</xdr:rowOff>
    </xdr:from>
    <xdr:to>
      <xdr:col>14</xdr:col>
      <xdr:colOff>224118</xdr:colOff>
      <xdr:row>13</xdr:row>
      <xdr:rowOff>56030</xdr:rowOff>
    </xdr:to>
    <xdr:sp macro="" textlink="">
      <xdr:nvSpPr>
        <xdr:cNvPr id="72" name="TextBox 71">
          <a:extLst>
            <a:ext uri="{FF2B5EF4-FFF2-40B4-BE49-F238E27FC236}">
              <a16:creationId xmlns:a16="http://schemas.microsoft.com/office/drawing/2014/main" id="{2FC23179-AE1E-44C0-8141-B2253EEDC034}"/>
            </a:ext>
          </a:extLst>
        </xdr:cNvPr>
        <xdr:cNvSpPr txBox="1"/>
      </xdr:nvSpPr>
      <xdr:spPr>
        <a:xfrm>
          <a:off x="6527427" y="2269192"/>
          <a:ext cx="3305735"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rgbClr val="602928"/>
              </a:solidFill>
              <a:latin typeface="Lato Black" panose="020F0502020204030203" pitchFamily="34" charset="0"/>
              <a:ea typeface="Lato Black" panose="020F0502020204030203" pitchFamily="34" charset="0"/>
              <a:cs typeface="Lato Black" panose="020F0502020204030203" pitchFamily="34" charset="0"/>
            </a:rPr>
            <a:t>Education</a:t>
          </a:r>
          <a:r>
            <a:rPr lang="en-US" sz="18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wise Attririon</a:t>
          </a:r>
          <a:endParaRPr lang="en-US" sz="18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420220</xdr:colOff>
      <xdr:row>13</xdr:row>
      <xdr:rowOff>112057</xdr:rowOff>
    </xdr:from>
    <xdr:to>
      <xdr:col>23</xdr:col>
      <xdr:colOff>42022</xdr:colOff>
      <xdr:row>24</xdr:row>
      <xdr:rowOff>84043</xdr:rowOff>
    </xdr:to>
    <mc:AlternateContent xmlns:mc="http://schemas.openxmlformats.org/markup-compatibility/2006">
      <mc:Choice xmlns:cx1="http://schemas.microsoft.com/office/drawing/2015/9/8/chartex" Requires="cx1">
        <xdr:graphicFrame macro="">
          <xdr:nvGraphicFramePr>
            <xdr:cNvPr id="73" name="Chart 72">
              <a:extLst>
                <a:ext uri="{FF2B5EF4-FFF2-40B4-BE49-F238E27FC236}">
                  <a16:creationId xmlns:a16="http://schemas.microsoft.com/office/drawing/2014/main" id="{818AD33F-4518-46E9-A587-4702332992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1393020" y="2712382"/>
              <a:ext cx="4422402" cy="217226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126066</xdr:colOff>
      <xdr:row>11</xdr:row>
      <xdr:rowOff>98051</xdr:rowOff>
    </xdr:from>
    <xdr:to>
      <xdr:col>22</xdr:col>
      <xdr:colOff>0</xdr:colOff>
      <xdr:row>13</xdr:row>
      <xdr:rowOff>42021</xdr:rowOff>
    </xdr:to>
    <xdr:sp macro="" textlink="">
      <xdr:nvSpPr>
        <xdr:cNvPr id="74" name="TextBox 73">
          <a:extLst>
            <a:ext uri="{FF2B5EF4-FFF2-40B4-BE49-F238E27FC236}">
              <a16:creationId xmlns:a16="http://schemas.microsoft.com/office/drawing/2014/main" id="{82518C9B-A214-4A7A-B381-AC7AE400F131}"/>
            </a:ext>
          </a:extLst>
        </xdr:cNvPr>
        <xdr:cNvSpPr txBox="1"/>
      </xdr:nvSpPr>
      <xdr:spPr>
        <a:xfrm>
          <a:off x="11794191" y="2255183"/>
          <a:ext cx="3305735"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By Job Role</a:t>
          </a:r>
          <a:endParaRPr lang="en-US" sz="18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3</xdr:col>
      <xdr:colOff>364191</xdr:colOff>
      <xdr:row>27</xdr:row>
      <xdr:rowOff>140074</xdr:rowOff>
    </xdr:from>
    <xdr:to>
      <xdr:col>9</xdr:col>
      <xdr:colOff>0</xdr:colOff>
      <xdr:row>38</xdr:row>
      <xdr:rowOff>14006</xdr:rowOff>
    </xdr:to>
    <xdr:graphicFrame macro="">
      <xdr:nvGraphicFramePr>
        <xdr:cNvPr id="75" name="Chart 74">
          <a:extLst>
            <a:ext uri="{FF2B5EF4-FFF2-40B4-BE49-F238E27FC236}">
              <a16:creationId xmlns:a16="http://schemas.microsoft.com/office/drawing/2014/main" id="{CBA12108-0FFA-48AB-A165-6426BEDA55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448235</xdr:colOff>
      <xdr:row>25</xdr:row>
      <xdr:rowOff>140073</xdr:rowOff>
    </xdr:from>
    <xdr:to>
      <xdr:col>8</xdr:col>
      <xdr:colOff>322169</xdr:colOff>
      <xdr:row>27</xdr:row>
      <xdr:rowOff>84044</xdr:rowOff>
    </xdr:to>
    <xdr:sp macro="" textlink="">
      <xdr:nvSpPr>
        <xdr:cNvPr id="76" name="TextBox 75">
          <a:extLst>
            <a:ext uri="{FF2B5EF4-FFF2-40B4-BE49-F238E27FC236}">
              <a16:creationId xmlns:a16="http://schemas.microsoft.com/office/drawing/2014/main" id="{7FCEC50F-C8D9-4D5B-8EE5-BAC24292C2D1}"/>
            </a:ext>
          </a:extLst>
        </xdr:cNvPr>
        <xdr:cNvSpPr txBox="1"/>
      </xdr:nvSpPr>
      <xdr:spPr>
        <a:xfrm>
          <a:off x="2507316" y="5042647"/>
          <a:ext cx="3305735"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rgbClr val="602928"/>
              </a:solidFill>
              <a:latin typeface="Lato Black" panose="020F0502020204030203" pitchFamily="34" charset="0"/>
              <a:ea typeface="Lato Black" panose="020F0502020204030203" pitchFamily="34" charset="0"/>
              <a:cs typeface="Lato Black" panose="020F0502020204030203" pitchFamily="34" charset="0"/>
            </a:rPr>
            <a:t>Department</a:t>
          </a:r>
          <a:r>
            <a:rPr lang="en-US" sz="18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wise Attirition</a:t>
          </a:r>
          <a:endParaRPr lang="en-US" sz="18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9</xdr:col>
      <xdr:colOff>224117</xdr:colOff>
      <xdr:row>27</xdr:row>
      <xdr:rowOff>28015</xdr:rowOff>
    </xdr:from>
    <xdr:to>
      <xdr:col>14</xdr:col>
      <xdr:colOff>294155</xdr:colOff>
      <xdr:row>37</xdr:row>
      <xdr:rowOff>154080</xdr:rowOff>
    </xdr:to>
    <xdr:graphicFrame macro="">
      <xdr:nvGraphicFramePr>
        <xdr:cNvPr id="77" name="Chart 76">
          <a:extLst>
            <a:ext uri="{FF2B5EF4-FFF2-40B4-BE49-F238E27FC236}">
              <a16:creationId xmlns:a16="http://schemas.microsoft.com/office/drawing/2014/main" id="{08E3391D-E297-4502-9E09-65733BC6A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378198</xdr:colOff>
      <xdr:row>25</xdr:row>
      <xdr:rowOff>112058</xdr:rowOff>
    </xdr:from>
    <xdr:to>
      <xdr:col>14</xdr:col>
      <xdr:colOff>252132</xdr:colOff>
      <xdr:row>27</xdr:row>
      <xdr:rowOff>56029</xdr:rowOff>
    </xdr:to>
    <xdr:sp macro="" textlink="">
      <xdr:nvSpPr>
        <xdr:cNvPr id="78" name="TextBox 77">
          <a:extLst>
            <a:ext uri="{FF2B5EF4-FFF2-40B4-BE49-F238E27FC236}">
              <a16:creationId xmlns:a16="http://schemas.microsoft.com/office/drawing/2014/main" id="{E99B13FB-F91C-48D3-BD97-AA023CB3CA2B}"/>
            </a:ext>
          </a:extLst>
        </xdr:cNvPr>
        <xdr:cNvSpPr txBox="1"/>
      </xdr:nvSpPr>
      <xdr:spPr>
        <a:xfrm>
          <a:off x="6555441" y="5014632"/>
          <a:ext cx="3305735"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By Age Group</a:t>
          </a:r>
          <a:endParaRPr lang="en-US" sz="18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14</xdr:col>
      <xdr:colOff>560296</xdr:colOff>
      <xdr:row>28</xdr:row>
      <xdr:rowOff>28014</xdr:rowOff>
    </xdr:from>
    <xdr:to>
      <xdr:col>18</xdr:col>
      <xdr:colOff>518273</xdr:colOff>
      <xdr:row>37</xdr:row>
      <xdr:rowOff>154080</xdr:rowOff>
    </xdr:to>
    <mc:AlternateContent xmlns:mc="http://schemas.openxmlformats.org/markup-compatibility/2006">
      <mc:Choice xmlns:cx2="http://schemas.microsoft.com/office/drawing/2015/10/21/chartex" Requires="cx2">
        <xdr:graphicFrame macro="">
          <xdr:nvGraphicFramePr>
            <xdr:cNvPr id="33" name="Chart 32">
              <a:extLst>
                <a:ext uri="{FF2B5EF4-FFF2-40B4-BE49-F238E27FC236}">
                  <a16:creationId xmlns:a16="http://schemas.microsoft.com/office/drawing/2014/main" id="{8A5F3C84-DA2F-454A-8067-5626750AFC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0161496" y="5628714"/>
              <a:ext cx="2701177" cy="192629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504265</xdr:colOff>
      <xdr:row>25</xdr:row>
      <xdr:rowOff>98050</xdr:rowOff>
    </xdr:from>
    <xdr:to>
      <xdr:col>18</xdr:col>
      <xdr:colOff>504265</xdr:colOff>
      <xdr:row>27</xdr:row>
      <xdr:rowOff>98052</xdr:rowOff>
    </xdr:to>
    <xdr:sp macro="" textlink="">
      <xdr:nvSpPr>
        <xdr:cNvPr id="40" name="TextBox 39">
          <a:extLst>
            <a:ext uri="{FF2B5EF4-FFF2-40B4-BE49-F238E27FC236}">
              <a16:creationId xmlns:a16="http://schemas.microsoft.com/office/drawing/2014/main" id="{6A1AD9FA-48A0-4437-84F0-3744BCA291BB}"/>
            </a:ext>
          </a:extLst>
        </xdr:cNvPr>
        <xdr:cNvSpPr txBox="1"/>
      </xdr:nvSpPr>
      <xdr:spPr>
        <a:xfrm>
          <a:off x="10113309" y="5000624"/>
          <a:ext cx="2745441" cy="392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By Marital Status</a:t>
          </a:r>
          <a:endParaRPr lang="en-US" sz="16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19</xdr:col>
      <xdr:colOff>126066</xdr:colOff>
      <xdr:row>27</xdr:row>
      <xdr:rowOff>140074</xdr:rowOff>
    </xdr:from>
    <xdr:to>
      <xdr:col>21</xdr:col>
      <xdr:colOff>364192</xdr:colOff>
      <xdr:row>38</xdr:row>
      <xdr:rowOff>33616</xdr:rowOff>
    </xdr:to>
    <mc:AlternateContent xmlns:mc="http://schemas.openxmlformats.org/markup-compatibility/2006" xmlns:a14="http://schemas.microsoft.com/office/drawing/2010/main">
      <mc:Choice Requires="a14">
        <xdr:graphicFrame macro="">
          <xdr:nvGraphicFramePr>
            <xdr:cNvPr id="53" name="Education Field 2">
              <a:extLst>
                <a:ext uri="{FF2B5EF4-FFF2-40B4-BE49-F238E27FC236}">
                  <a16:creationId xmlns:a16="http://schemas.microsoft.com/office/drawing/2014/main" id="{E0A2E556-27E3-4EA7-AC6A-B8ACF4A9FE77}"/>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3166912" y="5434853"/>
              <a:ext cx="1610846" cy="205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392205</xdr:colOff>
      <xdr:row>27</xdr:row>
      <xdr:rowOff>140074</xdr:rowOff>
    </xdr:from>
    <xdr:to>
      <xdr:col>23</xdr:col>
      <xdr:colOff>42021</xdr:colOff>
      <xdr:row>34</xdr:row>
      <xdr:rowOff>14007</xdr:rowOff>
    </xdr:to>
    <mc:AlternateContent xmlns:mc="http://schemas.openxmlformats.org/markup-compatibility/2006" xmlns:a14="http://schemas.microsoft.com/office/drawing/2010/main">
      <mc:Choice Requires="a14">
        <xdr:graphicFrame macro="">
          <xdr:nvGraphicFramePr>
            <xdr:cNvPr id="60" name="Department 1">
              <a:extLst>
                <a:ext uri="{FF2B5EF4-FFF2-40B4-BE49-F238E27FC236}">
                  <a16:creationId xmlns:a16="http://schemas.microsoft.com/office/drawing/2014/main" id="{6BAF51E5-1B98-45BE-90C0-AF154619829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805771" y="5434853"/>
              <a:ext cx="1022537" cy="12466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126066</xdr:colOff>
      <xdr:row>26</xdr:row>
      <xdr:rowOff>98053</xdr:rowOff>
    </xdr:from>
    <xdr:to>
      <xdr:col>21</xdr:col>
      <xdr:colOff>336177</xdr:colOff>
      <xdr:row>27</xdr:row>
      <xdr:rowOff>112060</xdr:rowOff>
    </xdr:to>
    <xdr:sp macro="" textlink="">
      <xdr:nvSpPr>
        <xdr:cNvPr id="61" name="TextBox 60">
          <a:extLst>
            <a:ext uri="{FF2B5EF4-FFF2-40B4-BE49-F238E27FC236}">
              <a16:creationId xmlns:a16="http://schemas.microsoft.com/office/drawing/2014/main" id="{29B17735-0691-C772-C832-6382C26FBD66}"/>
            </a:ext>
          </a:extLst>
        </xdr:cNvPr>
        <xdr:cNvSpPr txBox="1"/>
      </xdr:nvSpPr>
      <xdr:spPr>
        <a:xfrm>
          <a:off x="13166912" y="5196729"/>
          <a:ext cx="1582831" cy="210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602928"/>
              </a:solidFill>
              <a:latin typeface="Lato Black" panose="020F0502020204030203" pitchFamily="34" charset="0"/>
              <a:ea typeface="Lato Black" panose="020F0502020204030203" pitchFamily="34" charset="0"/>
              <a:cs typeface="Lato Black" panose="020F0502020204030203" pitchFamily="34" charset="0"/>
            </a:rPr>
            <a:t>Education Field</a:t>
          </a:r>
        </a:p>
      </xdr:txBody>
    </xdr:sp>
    <xdr:clientData/>
  </xdr:twoCellAnchor>
  <xdr:twoCellAnchor>
    <xdr:from>
      <xdr:col>21</xdr:col>
      <xdr:colOff>140074</xdr:colOff>
      <xdr:row>26</xdr:row>
      <xdr:rowOff>98052</xdr:rowOff>
    </xdr:from>
    <xdr:to>
      <xdr:col>23</xdr:col>
      <xdr:colOff>28014</xdr:colOff>
      <xdr:row>27</xdr:row>
      <xdr:rowOff>98053</xdr:rowOff>
    </xdr:to>
    <xdr:sp macro="" textlink="">
      <xdr:nvSpPr>
        <xdr:cNvPr id="63" name="TextBox 62">
          <a:extLst>
            <a:ext uri="{FF2B5EF4-FFF2-40B4-BE49-F238E27FC236}">
              <a16:creationId xmlns:a16="http://schemas.microsoft.com/office/drawing/2014/main" id="{6E940186-0DE7-4AEF-B5D9-DE8CAA1E8986}"/>
            </a:ext>
          </a:extLst>
        </xdr:cNvPr>
        <xdr:cNvSpPr txBox="1"/>
      </xdr:nvSpPr>
      <xdr:spPr>
        <a:xfrm>
          <a:off x="14553640" y="5196728"/>
          <a:ext cx="1260661" cy="196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602928"/>
              </a:solidFill>
              <a:latin typeface="Lato Black" panose="020F0502020204030203" pitchFamily="34" charset="0"/>
              <a:ea typeface="Lato Black" panose="020F0502020204030203" pitchFamily="34" charset="0"/>
              <a:cs typeface="Lato Black" panose="020F0502020204030203" pitchFamily="34" charset="0"/>
            </a:rPr>
            <a:t>Department</a:t>
          </a: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twoCellAnchor>
    <xdr:from>
      <xdr:col>10</xdr:col>
      <xdr:colOff>0</xdr:colOff>
      <xdr:row>6</xdr:row>
      <xdr:rowOff>0</xdr:rowOff>
    </xdr:from>
    <xdr:to>
      <xdr:col>14</xdr:col>
      <xdr:colOff>467194</xdr:colOff>
      <xdr:row>9</xdr:row>
      <xdr:rowOff>118047</xdr:rowOff>
    </xdr:to>
    <xdr:sp macro="" textlink="">
      <xdr:nvSpPr>
        <xdr:cNvPr id="9" name="Freeform: Shape 8">
          <a:extLst>
            <a:ext uri="{FF2B5EF4-FFF2-40B4-BE49-F238E27FC236}">
              <a16:creationId xmlns:a16="http://schemas.microsoft.com/office/drawing/2014/main" id="{48012324-A5C9-33CA-0BD9-B6B1A7A10DD3}"/>
            </a:ext>
          </a:extLst>
        </xdr:cNvPr>
        <xdr:cNvSpPr/>
      </xdr:nvSpPr>
      <xdr:spPr>
        <a:xfrm>
          <a:off x="6477000" y="1143000"/>
          <a:ext cx="3057994" cy="689547"/>
        </a:xfrm>
        <a:custGeom>
          <a:avLst/>
          <a:gdLst>
            <a:gd name="csX0" fmla="*/ 2628472 w 3057994"/>
            <a:gd name="csY0" fmla="*/ 142372 h 689547"/>
            <a:gd name="csX1" fmla="*/ 2557699 w 3057994"/>
            <a:gd name="csY1" fmla="*/ 302693 h 689547"/>
            <a:gd name="csX2" fmla="*/ 2328670 w 3057994"/>
            <a:gd name="csY2" fmla="*/ 302692 h 689547"/>
            <a:gd name="csX3" fmla="*/ 2513959 w 3057994"/>
            <a:gd name="csY3" fmla="*/ 401775 h 689547"/>
            <a:gd name="csX4" fmla="*/ 2443184 w 3057994"/>
            <a:gd name="csY4" fmla="*/ 562096 h 689547"/>
            <a:gd name="csX5" fmla="*/ 2628472 w 3057994"/>
            <a:gd name="csY5" fmla="*/ 463011 h 689547"/>
            <a:gd name="csX6" fmla="*/ 2813760 w 3057994"/>
            <a:gd name="csY6" fmla="*/ 562096 h 689547"/>
            <a:gd name="csX7" fmla="*/ 2742985 w 3057994"/>
            <a:gd name="csY7" fmla="*/ 401775 h 689547"/>
            <a:gd name="csX8" fmla="*/ 2928274 w 3057994"/>
            <a:gd name="csY8" fmla="*/ 302692 h 689547"/>
            <a:gd name="csX9" fmla="*/ 2699245 w 3057994"/>
            <a:gd name="csY9" fmla="*/ 302693 h 689547"/>
            <a:gd name="csX10" fmla="*/ 1927200 w 3057994"/>
            <a:gd name="csY10" fmla="*/ 142372 h 689547"/>
            <a:gd name="csX11" fmla="*/ 1856427 w 3057994"/>
            <a:gd name="csY11" fmla="*/ 302693 h 689547"/>
            <a:gd name="csX12" fmla="*/ 1627398 w 3057994"/>
            <a:gd name="csY12" fmla="*/ 302692 h 689547"/>
            <a:gd name="csX13" fmla="*/ 1812687 w 3057994"/>
            <a:gd name="csY13" fmla="*/ 401775 h 689547"/>
            <a:gd name="csX14" fmla="*/ 1741912 w 3057994"/>
            <a:gd name="csY14" fmla="*/ 562096 h 689547"/>
            <a:gd name="csX15" fmla="*/ 1927200 w 3057994"/>
            <a:gd name="csY15" fmla="*/ 463011 h 689547"/>
            <a:gd name="csX16" fmla="*/ 2112488 w 3057994"/>
            <a:gd name="csY16" fmla="*/ 562096 h 689547"/>
            <a:gd name="csX17" fmla="*/ 2041713 w 3057994"/>
            <a:gd name="csY17" fmla="*/ 401775 h 689547"/>
            <a:gd name="csX18" fmla="*/ 2227002 w 3057994"/>
            <a:gd name="csY18" fmla="*/ 302692 h 689547"/>
            <a:gd name="csX19" fmla="*/ 1997973 w 3057994"/>
            <a:gd name="csY19" fmla="*/ 302693 h 689547"/>
            <a:gd name="csX20" fmla="*/ 1225928 w 3057994"/>
            <a:gd name="csY20" fmla="*/ 142372 h 689547"/>
            <a:gd name="csX21" fmla="*/ 1155155 w 3057994"/>
            <a:gd name="csY21" fmla="*/ 302693 h 689547"/>
            <a:gd name="csX22" fmla="*/ 926126 w 3057994"/>
            <a:gd name="csY22" fmla="*/ 302692 h 689547"/>
            <a:gd name="csX23" fmla="*/ 1111415 w 3057994"/>
            <a:gd name="csY23" fmla="*/ 401775 h 689547"/>
            <a:gd name="csX24" fmla="*/ 1040640 w 3057994"/>
            <a:gd name="csY24" fmla="*/ 562096 h 689547"/>
            <a:gd name="csX25" fmla="*/ 1225928 w 3057994"/>
            <a:gd name="csY25" fmla="*/ 463011 h 689547"/>
            <a:gd name="csX26" fmla="*/ 1411216 w 3057994"/>
            <a:gd name="csY26" fmla="*/ 562096 h 689547"/>
            <a:gd name="csX27" fmla="*/ 1340441 w 3057994"/>
            <a:gd name="csY27" fmla="*/ 401775 h 689547"/>
            <a:gd name="csX28" fmla="*/ 1525730 w 3057994"/>
            <a:gd name="csY28" fmla="*/ 302692 h 689547"/>
            <a:gd name="csX29" fmla="*/ 1296701 w 3057994"/>
            <a:gd name="csY29" fmla="*/ 302693 h 689547"/>
            <a:gd name="csX30" fmla="*/ 524656 w 3057994"/>
            <a:gd name="csY30" fmla="*/ 142372 h 689547"/>
            <a:gd name="csX31" fmla="*/ 453883 w 3057994"/>
            <a:gd name="csY31" fmla="*/ 302693 h 689547"/>
            <a:gd name="csX32" fmla="*/ 224854 w 3057994"/>
            <a:gd name="csY32" fmla="*/ 302692 h 689547"/>
            <a:gd name="csX33" fmla="*/ 410143 w 3057994"/>
            <a:gd name="csY33" fmla="*/ 401775 h 689547"/>
            <a:gd name="csX34" fmla="*/ 339368 w 3057994"/>
            <a:gd name="csY34" fmla="*/ 562096 h 689547"/>
            <a:gd name="csX35" fmla="*/ 524656 w 3057994"/>
            <a:gd name="csY35" fmla="*/ 463011 h 689547"/>
            <a:gd name="csX36" fmla="*/ 709944 w 3057994"/>
            <a:gd name="csY36" fmla="*/ 562096 h 689547"/>
            <a:gd name="csX37" fmla="*/ 639169 w 3057994"/>
            <a:gd name="csY37" fmla="*/ 401775 h 689547"/>
            <a:gd name="csX38" fmla="*/ 824458 w 3057994"/>
            <a:gd name="csY38" fmla="*/ 302692 h 689547"/>
            <a:gd name="csX39" fmla="*/ 595429 w 3057994"/>
            <a:gd name="csY39" fmla="*/ 302693 h 689547"/>
            <a:gd name="csX40" fmla="*/ 0 w 3057994"/>
            <a:gd name="csY40" fmla="*/ 0 h 689547"/>
            <a:gd name="csX41" fmla="*/ 3057994 w 3057994"/>
            <a:gd name="csY41" fmla="*/ 0 h 689547"/>
            <a:gd name="csX42" fmla="*/ 3057994 w 3057994"/>
            <a:gd name="csY42" fmla="*/ 689547 h 689547"/>
            <a:gd name="csX43" fmla="*/ 0 w 3057994"/>
            <a:gd name="csY43" fmla="*/ 689547 h 68954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3057994" h="689547">
              <a:moveTo>
                <a:pt x="2628472" y="142372"/>
              </a:moveTo>
              <a:lnTo>
                <a:pt x="2557699" y="302693"/>
              </a:lnTo>
              <a:lnTo>
                <a:pt x="2328670" y="302692"/>
              </a:lnTo>
              <a:lnTo>
                <a:pt x="2513959" y="401775"/>
              </a:lnTo>
              <a:lnTo>
                <a:pt x="2443184" y="562096"/>
              </a:lnTo>
              <a:lnTo>
                <a:pt x="2628472" y="463011"/>
              </a:lnTo>
              <a:lnTo>
                <a:pt x="2813760" y="562096"/>
              </a:lnTo>
              <a:lnTo>
                <a:pt x="2742985" y="401775"/>
              </a:lnTo>
              <a:lnTo>
                <a:pt x="2928274" y="302692"/>
              </a:lnTo>
              <a:lnTo>
                <a:pt x="2699245" y="302693"/>
              </a:lnTo>
              <a:close/>
              <a:moveTo>
                <a:pt x="1927200" y="142372"/>
              </a:moveTo>
              <a:lnTo>
                <a:pt x="1856427" y="302693"/>
              </a:lnTo>
              <a:lnTo>
                <a:pt x="1627398" y="302692"/>
              </a:lnTo>
              <a:lnTo>
                <a:pt x="1812687" y="401775"/>
              </a:lnTo>
              <a:lnTo>
                <a:pt x="1741912" y="562096"/>
              </a:lnTo>
              <a:lnTo>
                <a:pt x="1927200" y="463011"/>
              </a:lnTo>
              <a:lnTo>
                <a:pt x="2112488" y="562096"/>
              </a:lnTo>
              <a:lnTo>
                <a:pt x="2041713" y="401775"/>
              </a:lnTo>
              <a:lnTo>
                <a:pt x="2227002" y="302692"/>
              </a:lnTo>
              <a:lnTo>
                <a:pt x="1997973" y="302693"/>
              </a:lnTo>
              <a:close/>
              <a:moveTo>
                <a:pt x="1225928" y="142372"/>
              </a:moveTo>
              <a:lnTo>
                <a:pt x="1155155" y="302693"/>
              </a:lnTo>
              <a:lnTo>
                <a:pt x="926126" y="302692"/>
              </a:lnTo>
              <a:lnTo>
                <a:pt x="1111415" y="401775"/>
              </a:lnTo>
              <a:lnTo>
                <a:pt x="1040640" y="562096"/>
              </a:lnTo>
              <a:lnTo>
                <a:pt x="1225928" y="463011"/>
              </a:lnTo>
              <a:lnTo>
                <a:pt x="1411216" y="562096"/>
              </a:lnTo>
              <a:lnTo>
                <a:pt x="1340441" y="401775"/>
              </a:lnTo>
              <a:lnTo>
                <a:pt x="1525730" y="302692"/>
              </a:lnTo>
              <a:lnTo>
                <a:pt x="1296701" y="302693"/>
              </a:lnTo>
              <a:close/>
              <a:moveTo>
                <a:pt x="524656" y="142372"/>
              </a:moveTo>
              <a:lnTo>
                <a:pt x="453883" y="302693"/>
              </a:lnTo>
              <a:lnTo>
                <a:pt x="224854" y="302692"/>
              </a:lnTo>
              <a:lnTo>
                <a:pt x="410143" y="401775"/>
              </a:lnTo>
              <a:lnTo>
                <a:pt x="339368" y="562096"/>
              </a:lnTo>
              <a:lnTo>
                <a:pt x="524656" y="463011"/>
              </a:lnTo>
              <a:lnTo>
                <a:pt x="709944" y="562096"/>
              </a:lnTo>
              <a:lnTo>
                <a:pt x="639169" y="401775"/>
              </a:lnTo>
              <a:lnTo>
                <a:pt x="824458" y="302692"/>
              </a:lnTo>
              <a:lnTo>
                <a:pt x="595429" y="302693"/>
              </a:lnTo>
              <a:close/>
              <a:moveTo>
                <a:pt x="0" y="0"/>
              </a:moveTo>
              <a:lnTo>
                <a:pt x="3057994" y="0"/>
              </a:lnTo>
              <a:lnTo>
                <a:pt x="3057994" y="689547"/>
              </a:lnTo>
              <a:lnTo>
                <a:pt x="0" y="689547"/>
              </a:lnTo>
              <a:close/>
            </a:path>
          </a:pathLst>
        </a:cu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81150" y="28575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p Support" refreshedDate="46095.623950347224" createdVersion="8" refreshedVersion="8" minRefreshableVersion="3" recordCount="1470" xr:uid="{AA810FEC-2D9D-4256-BFE1-8110796C730A}">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4748914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8C86D5-281B-4190-9462-543C3C53A9FF}"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h="1" x="5"/>
        <item h="1" x="0"/>
        <item h="1" x="3"/>
        <item x="2"/>
        <item h="1" x="1"/>
        <item h="1"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numFmtId="1"/>
  </dataFields>
  <formats count="2">
    <format dxfId="35">
      <pivotArea dataOnly="0" labelOnly="1" outline="0" axis="axisValues" fieldPosition="0"/>
    </format>
    <format dxfId="34">
      <pivotArea outline="0" collapsedLevelsAreSubtotals="1" fieldPosition="0">
        <references count="1">
          <reference field="4294967294" count="1" selected="0">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45FEC8-50F3-4055-93ED-0BF9EB111A9F}"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h="1" x="5"/>
        <item h="1" x="0"/>
        <item h="1" x="3"/>
        <item x="2"/>
        <item h="1" x="1"/>
        <item h="1"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33">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263064-81FD-4313-B3A4-2B7263262129}" name="Gener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h="1" x="0"/>
        <item h="1" x="3"/>
        <item x="2"/>
        <item h="1" x="1"/>
        <item h="1"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37FC46-1CB2-430B-94AB-E6526614F011}"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h="1" x="0"/>
        <item h="1" x="3"/>
        <item x="2"/>
        <item h="1" x="1"/>
        <item h="1"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v="4"/>
    </i>
    <i>
      <x/>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5975CD-CADB-41C4-A15B-E1B0996959C5}"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items count="3">
        <item x="1"/>
        <item x="0"/>
        <item t="default"/>
      </items>
    </pivotField>
    <pivotField showAll="0"/>
    <pivotField showAll="0"/>
    <pivotField showAll="0"/>
    <pivotField showAll="0">
      <items count="4">
        <item x="2"/>
        <item x="1"/>
        <item x="0"/>
        <item t="default"/>
      </items>
    </pivotField>
    <pivotField showAll="0">
      <items count="7">
        <item h="1" x="5"/>
        <item h="1" x="0"/>
        <item h="1" x="3"/>
        <item x="2"/>
        <item h="1" x="1"/>
        <item h="1"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109376-C945-43AE-99A4-C447A127B831}" name="Departmen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h="1" x="5"/>
        <item h="1" x="0"/>
        <item h="1" x="3"/>
        <item x="2"/>
        <item h="1" x="1"/>
        <item h="1"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0"/>
          </reference>
        </references>
      </pivotArea>
    </chartFormat>
    <chartFormat chart="0" format="5">
      <pivotArea type="data" outline="0" fieldPosition="0">
        <references count="2">
          <reference field="4294967294" count="1" selected="0">
            <x v="0"/>
          </reference>
          <reference field="4" count="1" selected="0">
            <x v="1"/>
          </reference>
        </references>
      </pivotArea>
    </chartFormat>
    <chartFormat chart="0" format="6">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1446D4-BEFF-4998-859D-1CA2155A1A1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sortType="descending">
      <items count="6">
        <item x="4"/>
        <item x="3"/>
        <item x="1"/>
        <item x="0"/>
        <item x="2"/>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h="1" x="5"/>
        <item h="1" x="0"/>
        <item h="1" x="3"/>
        <item x="2"/>
        <item h="1" x="1"/>
        <item h="1"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4"/>
    </i>
    <i>
      <x v="3"/>
    </i>
    <i>
      <x/>
    </i>
    <i>
      <x v="1"/>
    </i>
    <i>
      <x v="2"/>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700028-4A8D-40D7-ACFD-A621F47EFF2B}"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h="1" x="5"/>
        <item h="1" x="0"/>
        <item h="1" x="3"/>
        <item x="2"/>
        <item h="1" x="1"/>
        <item h="1"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8C15CB4F-4692-4A42-9AA1-173A25F363A1}" sourceName="Gender">
  <pivotTables>
    <pivotTable tabId="10" name="General"/>
    <pivotTable tabId="12" name="Attrition by job"/>
    <pivotTable tabId="14" name="PivotTable5"/>
    <pivotTable tabId="13" name="Department wise attrition"/>
    <pivotTable tabId="11" name="Education by attrition"/>
    <pivotTable tabId="7" name="KPI"/>
    <pivotTable tabId="15" name="marital status"/>
    <pivotTable tabId="9" name="Rating"/>
  </pivotTables>
  <data>
    <tabular pivotCacheId="147489144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1477474-BB95-4225-9C72-13D30414DFC0}" sourceName="Department">
  <pivotTables>
    <pivotTable tabId="15" name="marital status"/>
    <pivotTable tabId="12" name="Attrition by job"/>
    <pivotTable tabId="14" name="PivotTable5"/>
    <pivotTable tabId="13" name="Department wise attrition"/>
    <pivotTable tabId="11" name="Education by attrition"/>
    <pivotTable tabId="10" name="General"/>
    <pivotTable tabId="7" name="KPI"/>
    <pivotTable tabId="9" name="Rating"/>
  </pivotTables>
  <data>
    <tabular pivotCacheId="147489144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2FD7E589-65AD-4DB9-9A60-5B8113B34AD3}" sourceName="Education Field">
  <pivotTables>
    <pivotTable tabId="15" name="marital status"/>
    <pivotTable tabId="12" name="Attrition by job"/>
    <pivotTable tabId="14" name="PivotTable5"/>
    <pivotTable tabId="13" name="Department wise attrition"/>
    <pivotTable tabId="11" name="Education by attrition"/>
    <pivotTable tabId="10" name="General"/>
    <pivotTable tabId="7" name="KPI"/>
    <pivotTable tabId="9" name="Rating"/>
  </pivotTables>
  <data>
    <tabular pivotCacheId="1474891441">
      <items count="6">
        <i x="5"/>
        <i x="0"/>
        <i x="3"/>
        <i x="2" s="1"/>
        <i x="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B1EC8DA-4D58-40EA-AB38-8A8907734D6A}" cache="Slicer_Gender2"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246E08F-BED8-41CB-B17F-26BC4072E311}" cache="Slicer_Gender2" caption="Gender" rowHeight="257175"/>
  <slicer name="Education Field 3" xr10:uid="{228CCEBE-A3D9-4022-B1A0-38014C607865}" cache="Slicer_Education_Field1" caption="Education Field"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CFC7BC91-C62B-481D-8206-C1B13B9350A8}" cache="Slicer_Gender2" caption="Gender" rowHeight="257175"/>
  <slicer name="Education Field" xr10:uid="{FD290792-DB41-4A43-829D-F378A178A27F}" cache="Slicer_Education_Field1" caption="Education Field"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F6DDA0B-AAEA-4C5E-AD01-6F1F9F6AD568}" cache="Slicer_Department" caption="Department" rowHeight="257175"/>
  <slicer name="Education Field 1" xr10:uid="{1CB133C9-2227-49E1-8562-17649AE693D9}" cache="Slicer_Education_Field1" caption="Education Field"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74D6CC05-B212-4958-97CF-46B4C79E2578}" cache="Slicer_Gender2" caption="Gender" columnCount="2" style="SlicerStyleLight6" rowHeight="257175"/>
  <slicer name="Department 1" xr10:uid="{E4FA6779-C0D6-4311-90CA-E2EF06FE01D9}" cache="Slicer_Department" style="SlicerStyleLight6" rowHeight="257175"/>
  <slicer name="Education Field 2" xr10:uid="{615DEF11-ACD7-4140-8B27-B9A84C8C77BA}" cache="Slicer_Education_Field1" style="SlicerStyleLight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A3DDD-A3C4-4ABC-9A55-A71AEFBC72D2}">
  <dimension ref="A3:F7"/>
  <sheetViews>
    <sheetView workbookViewId="0">
      <selection activeCell="F6" sqref="F6"/>
    </sheetView>
  </sheetViews>
  <sheetFormatPr defaultRowHeight="15.75" x14ac:dyDescent="0.25"/>
  <cols>
    <col min="1" max="1" width="23.375" bestFit="1" customWidth="1"/>
    <col min="2" max="2" width="21.75" bestFit="1" customWidth="1"/>
    <col min="3" max="3" width="13.375" bestFit="1" customWidth="1"/>
    <col min="4" max="4" width="15.75" bestFit="1" customWidth="1"/>
    <col min="5" max="5" width="12.75" bestFit="1" customWidth="1"/>
  </cols>
  <sheetData>
    <row r="3" spans="1:6" x14ac:dyDescent="0.25">
      <c r="A3" s="2" t="s">
        <v>1554</v>
      </c>
      <c r="B3" s="5" t="s">
        <v>1555</v>
      </c>
      <c r="C3" s="4" t="s">
        <v>1556</v>
      </c>
    </row>
    <row r="4" spans="1:6" x14ac:dyDescent="0.25">
      <c r="A4" s="26">
        <v>464</v>
      </c>
      <c r="B4" s="27">
        <v>63</v>
      </c>
      <c r="C4" s="10">
        <v>36.838362068965516</v>
      </c>
    </row>
    <row r="6" spans="1:6" x14ac:dyDescent="0.25">
      <c r="A6" s="6" t="s">
        <v>1560</v>
      </c>
      <c r="B6" s="6" t="s">
        <v>1559</v>
      </c>
      <c r="C6" s="6" t="s">
        <v>1558</v>
      </c>
      <c r="D6" s="6" t="s">
        <v>1557</v>
      </c>
      <c r="F6" s="6" t="s">
        <v>1561</v>
      </c>
    </row>
    <row r="7" spans="1:6" x14ac:dyDescent="0.25">
      <c r="A7">
        <f>GETPIVOTDATA("Count of Employee Number",$A$3)</f>
        <v>464</v>
      </c>
      <c r="B7">
        <f>GETPIVOTDATA("Sum of CF_attrition count",$A$3)</f>
        <v>63</v>
      </c>
      <c r="C7" s="9">
        <f>GETPIVOTDATA("Average of Age",$A$3)</f>
        <v>36.838362068965516</v>
      </c>
      <c r="D7">
        <f>A7-B7</f>
        <v>401</v>
      </c>
      <c r="F7" s="7">
        <f>B7/A7</f>
        <v>0.13577586206896552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700C5-6D73-4269-8681-EAB027362D8E}">
  <dimension ref="A3:D7"/>
  <sheetViews>
    <sheetView topLeftCell="A7" workbookViewId="0">
      <selection activeCell="E9" sqref="E9"/>
    </sheetView>
  </sheetViews>
  <sheetFormatPr defaultRowHeight="15.75" x14ac:dyDescent="0.25"/>
  <cols>
    <col min="1" max="1" width="23.125" bestFit="1" customWidth="1"/>
    <col min="4" max="4" width="33.875" bestFit="1" customWidth="1"/>
  </cols>
  <sheetData>
    <row r="3" spans="1:4" x14ac:dyDescent="0.25">
      <c r="A3" s="3" t="s">
        <v>1562</v>
      </c>
    </row>
    <row r="4" spans="1:4" x14ac:dyDescent="0.25">
      <c r="A4" s="13">
        <v>3.0926724137931036</v>
      </c>
    </row>
    <row r="6" spans="1:4" x14ac:dyDescent="0.25">
      <c r="A6" t="s">
        <v>1563</v>
      </c>
      <c r="B6" s="8">
        <f>GETPIVOTDATA("Job Satisfaction",$A$3)</f>
        <v>3.0926724137931036</v>
      </c>
      <c r="C6" s="7">
        <f>B6/4</f>
        <v>0.77316810344827591</v>
      </c>
    </row>
    <row r="7" spans="1:4" x14ac:dyDescent="0.25">
      <c r="A7" t="s">
        <v>1564</v>
      </c>
      <c r="B7" s="8">
        <f>4-B6</f>
        <v>0.90732758620689635</v>
      </c>
      <c r="C7" s="7">
        <f>B7/4</f>
        <v>0.22683189655172409</v>
      </c>
      <c r="D7" t="s">
        <v>1565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B72FA-6345-4F97-A303-0C1DB9315AC9}">
  <dimension ref="A3:C9"/>
  <sheetViews>
    <sheetView tabSelected="1" workbookViewId="0">
      <selection activeCell="O9" sqref="O9"/>
    </sheetView>
  </sheetViews>
  <sheetFormatPr defaultRowHeight="15.75" x14ac:dyDescent="0.25"/>
  <cols>
    <col min="1" max="1" width="12.125" bestFit="1" customWidth="1"/>
    <col min="2" max="2" width="21.75" bestFit="1" customWidth="1"/>
  </cols>
  <sheetData>
    <row r="3" spans="1:3" x14ac:dyDescent="0.25">
      <c r="A3" s="14" t="s">
        <v>1566</v>
      </c>
      <c r="B3" s="3" t="s">
        <v>1568</v>
      </c>
    </row>
    <row r="4" spans="1:3" x14ac:dyDescent="0.25">
      <c r="A4" s="15" t="s">
        <v>51</v>
      </c>
      <c r="B4" s="23">
        <v>190</v>
      </c>
    </row>
    <row r="5" spans="1:3" x14ac:dyDescent="0.25">
      <c r="A5" s="16" t="s">
        <v>62</v>
      </c>
      <c r="B5" s="24">
        <v>274</v>
      </c>
    </row>
    <row r="6" spans="1:3" x14ac:dyDescent="0.25">
      <c r="A6" s="17" t="s">
        <v>1567</v>
      </c>
      <c r="B6" s="25">
        <v>464</v>
      </c>
    </row>
    <row r="8" spans="1:3" x14ac:dyDescent="0.25">
      <c r="A8" s="18" t="s">
        <v>51</v>
      </c>
      <c r="B8">
        <f>IFERROR(GETPIVOTDATA("Employee Count",$A$3,"Gender","Female"),0)</f>
        <v>190</v>
      </c>
      <c r="C8" s="7">
        <f>IFERROR(B8/($B$8+$B$9),0)</f>
        <v>0.40948275862068967</v>
      </c>
    </row>
    <row r="9" spans="1:3" x14ac:dyDescent="0.25">
      <c r="A9" s="18" t="s">
        <v>62</v>
      </c>
      <c r="B9">
        <f>IFERROR(GETPIVOTDATA("Employee Count",$A$3,"Gender","Male"),0)</f>
        <v>274</v>
      </c>
      <c r="C9" s="7">
        <f>IFERROR(B9/($B$8+$B$9),0)</f>
        <v>0.59051724137931039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5C4D4-26AD-4A44-ADA4-8EF0A910830C}">
  <dimension ref="A3:B9"/>
  <sheetViews>
    <sheetView workbookViewId="0">
      <selection activeCell="I1" sqref="I1"/>
    </sheetView>
  </sheetViews>
  <sheetFormatPr defaultRowHeight="15.75" x14ac:dyDescent="0.25"/>
  <cols>
    <col min="1" max="1" width="16.125" bestFit="1" customWidth="1"/>
    <col min="2" max="2" width="21.75" bestFit="1" customWidth="1"/>
  </cols>
  <sheetData>
    <row r="3" spans="1:2" x14ac:dyDescent="0.25">
      <c r="A3" s="14" t="s">
        <v>1566</v>
      </c>
      <c r="B3" s="3" t="s">
        <v>1555</v>
      </c>
    </row>
    <row r="4" spans="1:2" x14ac:dyDescent="0.25">
      <c r="A4" s="15" t="s">
        <v>134</v>
      </c>
      <c r="B4" s="23">
        <v>0</v>
      </c>
    </row>
    <row r="5" spans="1:2" x14ac:dyDescent="0.25">
      <c r="A5" s="16" t="s">
        <v>65</v>
      </c>
      <c r="B5" s="24">
        <v>10</v>
      </c>
    </row>
    <row r="6" spans="1:2" x14ac:dyDescent="0.25">
      <c r="A6" s="16" t="s">
        <v>71</v>
      </c>
      <c r="B6" s="24">
        <v>13</v>
      </c>
    </row>
    <row r="7" spans="1:2" x14ac:dyDescent="0.25">
      <c r="A7" s="16" t="s">
        <v>55</v>
      </c>
      <c r="B7" s="24">
        <v>15</v>
      </c>
    </row>
    <row r="8" spans="1:2" x14ac:dyDescent="0.25">
      <c r="A8" s="16" t="s">
        <v>77</v>
      </c>
      <c r="B8" s="24">
        <v>25</v>
      </c>
    </row>
    <row r="9" spans="1:2" x14ac:dyDescent="0.25">
      <c r="A9" s="17" t="s">
        <v>1567</v>
      </c>
      <c r="B9" s="25">
        <v>63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82BE0-593A-4956-9D16-808A9689D48D}">
  <dimension ref="A2:E13"/>
  <sheetViews>
    <sheetView topLeftCell="A2" workbookViewId="0">
      <selection activeCell="C18" sqref="C18"/>
    </sheetView>
  </sheetViews>
  <sheetFormatPr defaultRowHeight="15.75" x14ac:dyDescent="0.25"/>
  <cols>
    <col min="1" max="1" width="22.875" bestFit="1" customWidth="1"/>
    <col min="2" max="2" width="21.75" bestFit="1" customWidth="1"/>
    <col min="4" max="4" width="69.25" bestFit="1" customWidth="1"/>
    <col min="5" max="5" width="12.75" bestFit="1" customWidth="1"/>
  </cols>
  <sheetData>
    <row r="2" spans="1:5" x14ac:dyDescent="0.25">
      <c r="D2" t="s">
        <v>1569</v>
      </c>
    </row>
    <row r="3" spans="1:5" x14ac:dyDescent="0.25">
      <c r="A3" s="14" t="s">
        <v>1566</v>
      </c>
      <c r="B3" s="3" t="s">
        <v>1555</v>
      </c>
      <c r="D3" s="19" t="s">
        <v>9</v>
      </c>
      <c r="E3" s="19" t="s">
        <v>1559</v>
      </c>
    </row>
    <row r="4" spans="1:5" x14ac:dyDescent="0.25">
      <c r="A4" s="15" t="s">
        <v>83</v>
      </c>
      <c r="B4" s="23">
        <v>5</v>
      </c>
      <c r="D4" t="str">
        <f>A4</f>
        <v>Healthcare Representative</v>
      </c>
      <c r="E4">
        <f>GETPIVOTDATA("CF_attrition count",$A$3,"Job Role",A4)</f>
        <v>5</v>
      </c>
    </row>
    <row r="5" spans="1:5" x14ac:dyDescent="0.25">
      <c r="A5" s="16" t="s">
        <v>163</v>
      </c>
      <c r="B5" s="24">
        <v>2</v>
      </c>
      <c r="D5" t="str">
        <f t="shared" ref="D5:D12" si="0">A5</f>
        <v>Human Resources</v>
      </c>
      <c r="E5">
        <f t="shared" ref="E5:E12" si="1">GETPIVOTDATA("CF_attrition count",$A$3,"Job Role",A5)</f>
        <v>2</v>
      </c>
    </row>
    <row r="6" spans="1:5" x14ac:dyDescent="0.25">
      <c r="A6" s="16" t="s">
        <v>68</v>
      </c>
      <c r="B6" s="24">
        <v>17</v>
      </c>
      <c r="D6" t="str">
        <f t="shared" si="0"/>
        <v>Laboratory Technician</v>
      </c>
      <c r="E6">
        <f t="shared" si="1"/>
        <v>17</v>
      </c>
    </row>
    <row r="7" spans="1:5" x14ac:dyDescent="0.25">
      <c r="A7" s="16" t="s">
        <v>95</v>
      </c>
      <c r="B7" s="24">
        <v>2</v>
      </c>
      <c r="D7" t="str">
        <f t="shared" si="0"/>
        <v>Manager</v>
      </c>
      <c r="E7">
        <f t="shared" si="1"/>
        <v>2</v>
      </c>
    </row>
    <row r="8" spans="1:5" x14ac:dyDescent="0.25">
      <c r="A8" s="16" t="s">
        <v>81</v>
      </c>
      <c r="B8" s="24">
        <v>5</v>
      </c>
      <c r="D8" t="str">
        <f t="shared" si="0"/>
        <v>Manufacturing Director</v>
      </c>
      <c r="E8">
        <f t="shared" si="1"/>
        <v>5</v>
      </c>
    </row>
    <row r="9" spans="1:5" x14ac:dyDescent="0.25">
      <c r="A9" s="16" t="s">
        <v>101</v>
      </c>
      <c r="B9" s="24">
        <v>0</v>
      </c>
      <c r="D9" t="str">
        <f t="shared" si="0"/>
        <v>Research Director</v>
      </c>
      <c r="E9">
        <f t="shared" si="1"/>
        <v>0</v>
      </c>
    </row>
    <row r="10" spans="1:5" x14ac:dyDescent="0.25">
      <c r="A10" s="16" t="s">
        <v>63</v>
      </c>
      <c r="B10" s="24">
        <v>18</v>
      </c>
      <c r="D10" t="str">
        <f t="shared" si="0"/>
        <v>Research Scientist</v>
      </c>
      <c r="E10">
        <f t="shared" si="1"/>
        <v>18</v>
      </c>
    </row>
    <row r="11" spans="1:5" x14ac:dyDescent="0.25">
      <c r="A11" s="16" t="s">
        <v>52</v>
      </c>
      <c r="B11" s="24">
        <v>9</v>
      </c>
      <c r="D11" t="str">
        <f t="shared" si="0"/>
        <v>Sales Executive</v>
      </c>
      <c r="E11">
        <f t="shared" si="1"/>
        <v>9</v>
      </c>
    </row>
    <row r="12" spans="1:5" x14ac:dyDescent="0.25">
      <c r="A12" s="16" t="s">
        <v>99</v>
      </c>
      <c r="B12" s="24">
        <v>5</v>
      </c>
      <c r="D12" t="str">
        <f t="shared" si="0"/>
        <v>Sales Representative</v>
      </c>
      <c r="E12">
        <f t="shared" si="1"/>
        <v>5</v>
      </c>
    </row>
    <row r="13" spans="1:5" x14ac:dyDescent="0.25">
      <c r="A13" s="17" t="s">
        <v>1567</v>
      </c>
      <c r="B13" s="25">
        <v>63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8B4-09E9-444D-81AB-3763D176845D}">
  <dimension ref="A3:B7"/>
  <sheetViews>
    <sheetView workbookViewId="0">
      <selection activeCell="B4" sqref="B4"/>
    </sheetView>
  </sheetViews>
  <sheetFormatPr defaultRowHeight="15.75" x14ac:dyDescent="0.25"/>
  <cols>
    <col min="1" max="1" width="12.125" bestFit="1" customWidth="1"/>
    <col min="2" max="2" width="21.75" bestFit="1" customWidth="1"/>
  </cols>
  <sheetData>
    <row r="3" spans="1:2" x14ac:dyDescent="0.25">
      <c r="A3" s="14" t="s">
        <v>1566</v>
      </c>
      <c r="B3" s="3" t="s">
        <v>1555</v>
      </c>
    </row>
    <row r="4" spans="1:2" x14ac:dyDescent="0.25">
      <c r="A4" s="15" t="s">
        <v>161</v>
      </c>
      <c r="B4" s="20">
        <v>3.1746031746031744E-2</v>
      </c>
    </row>
    <row r="5" spans="1:2" x14ac:dyDescent="0.25">
      <c r="A5" s="16" t="s">
        <v>60</v>
      </c>
      <c r="B5" s="21">
        <v>0.74603174603174605</v>
      </c>
    </row>
    <row r="6" spans="1:2" x14ac:dyDescent="0.25">
      <c r="A6" s="16" t="s">
        <v>48</v>
      </c>
      <c r="B6" s="21">
        <v>0.22222222222222221</v>
      </c>
    </row>
    <row r="7" spans="1:2" x14ac:dyDescent="0.25">
      <c r="A7" s="17" t="s">
        <v>1567</v>
      </c>
      <c r="B7" s="22">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E1AB6-9C47-4ECE-92D5-80A620F63F34}">
  <dimension ref="A3:B9"/>
  <sheetViews>
    <sheetView workbookViewId="0">
      <selection activeCell="L11" sqref="L11"/>
    </sheetView>
  </sheetViews>
  <sheetFormatPr defaultRowHeight="15.75" x14ac:dyDescent="0.25"/>
  <cols>
    <col min="1" max="1" width="12.125" bestFit="1" customWidth="1"/>
    <col min="2" max="2" width="21.75" bestFit="1" customWidth="1"/>
  </cols>
  <sheetData>
    <row r="3" spans="1:2" x14ac:dyDescent="0.25">
      <c r="A3" s="14" t="s">
        <v>1566</v>
      </c>
      <c r="B3" s="3" t="s">
        <v>1555</v>
      </c>
    </row>
    <row r="4" spans="1:2" x14ac:dyDescent="0.25">
      <c r="A4" s="15" t="s">
        <v>69</v>
      </c>
      <c r="B4" s="23">
        <v>30</v>
      </c>
    </row>
    <row r="5" spans="1:2" x14ac:dyDescent="0.25">
      <c r="A5" s="16" t="s">
        <v>46</v>
      </c>
      <c r="B5" s="24">
        <v>15</v>
      </c>
    </row>
    <row r="6" spans="1:2" x14ac:dyDescent="0.25">
      <c r="A6" s="16" t="s">
        <v>92</v>
      </c>
      <c r="B6" s="24">
        <v>10</v>
      </c>
    </row>
    <row r="7" spans="1:2" x14ac:dyDescent="0.25">
      <c r="A7" s="16" t="s">
        <v>75</v>
      </c>
      <c r="B7" s="24">
        <v>4</v>
      </c>
    </row>
    <row r="8" spans="1:2" x14ac:dyDescent="0.25">
      <c r="A8" s="16" t="s">
        <v>58</v>
      </c>
      <c r="B8" s="24">
        <v>4</v>
      </c>
    </row>
    <row r="9" spans="1:2" x14ac:dyDescent="0.25">
      <c r="A9" s="17" t="s">
        <v>1567</v>
      </c>
      <c r="B9" s="25">
        <v>63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D22F5-C04F-4AAB-BBE7-3D12CEEA7AAF}">
  <dimension ref="A3:E7"/>
  <sheetViews>
    <sheetView workbookViewId="0">
      <selection activeCell="B6" sqref="B6"/>
    </sheetView>
  </sheetViews>
  <sheetFormatPr defaultRowHeight="15.75" x14ac:dyDescent="0.25"/>
  <cols>
    <col min="1" max="1" width="12.125" bestFit="1" customWidth="1"/>
    <col min="2" max="2" width="15" bestFit="1" customWidth="1"/>
  </cols>
  <sheetData>
    <row r="3" spans="1:5" x14ac:dyDescent="0.25">
      <c r="A3" s="14" t="s">
        <v>1566</v>
      </c>
      <c r="B3" s="3" t="s">
        <v>1570</v>
      </c>
      <c r="D3" s="19" t="s">
        <v>1571</v>
      </c>
      <c r="E3" s="19" t="s">
        <v>1572</v>
      </c>
    </row>
    <row r="4" spans="1:5" x14ac:dyDescent="0.25">
      <c r="A4" s="15" t="s">
        <v>79</v>
      </c>
      <c r="B4" s="23">
        <v>107</v>
      </c>
      <c r="D4" t="str">
        <f>A4</f>
        <v>Divorced</v>
      </c>
      <c r="E4">
        <f>GETPIVOTDATA("Attrition",$A$3,"Marital Status",A4)</f>
        <v>107</v>
      </c>
    </row>
    <row r="5" spans="1:5" x14ac:dyDescent="0.25">
      <c r="A5" s="16" t="s">
        <v>53</v>
      </c>
      <c r="B5" s="24">
        <v>147</v>
      </c>
      <c r="D5" t="str">
        <f>A5</f>
        <v>Single</v>
      </c>
      <c r="E5">
        <f>GETPIVOTDATA("Attrition",$A$3,"Marital Status",A5)</f>
        <v>147</v>
      </c>
    </row>
    <row r="6" spans="1:5" x14ac:dyDescent="0.25">
      <c r="A6" s="16" t="s">
        <v>64</v>
      </c>
      <c r="B6" s="24">
        <v>210</v>
      </c>
      <c r="D6" t="str">
        <f>A6</f>
        <v>Married</v>
      </c>
      <c r="E6">
        <f>GETPIVOTDATA("Attrition",$A$3,"Marital Status",A6)</f>
        <v>210</v>
      </c>
    </row>
    <row r="7" spans="1:5" x14ac:dyDescent="0.25">
      <c r="A7" s="17" t="s">
        <v>1567</v>
      </c>
      <c r="B7" s="25">
        <v>464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M1" workbookViewId="0">
      <selection activeCell="H13" sqref="H13"/>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8EF41-87E0-42F1-AE6A-3BEE6EF153A0}">
  <dimension ref="X5"/>
  <sheetViews>
    <sheetView showGridLines="0" zoomScale="68" zoomScaleNormal="68" workbookViewId="0">
      <selection activeCell="V7" sqref="V7"/>
    </sheetView>
  </sheetViews>
  <sheetFormatPr defaultRowHeight="15.75" x14ac:dyDescent="0.25"/>
  <cols>
    <col min="1" max="16384" width="9" style="12"/>
  </cols>
  <sheetData>
    <row r="5" spans="24:24" x14ac:dyDescent="0.25">
      <c r="X5" s="11"/>
    </row>
  </sheetData>
  <pageMargins left="0.7" right="0.7" top="0.75" bottom="0.75" header="0.3" footer="0.3"/>
  <pageSetup paperSize="9" orientation="portrait" horizontalDpi="300" verticalDpi="300"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C20"/>
  <sheetViews>
    <sheetView showGridLines="0" workbookViewId="0">
      <selection activeCell="C3" sqref="C3"/>
    </sheetView>
  </sheetViews>
  <sheetFormatPr defaultColWidth="11.25" defaultRowHeight="15" customHeight="1" x14ac:dyDescent="0.25"/>
  <cols>
    <col min="1" max="26" width="8.5" customWidth="1"/>
  </cols>
  <sheetData>
    <row r="1" spans="3:3" x14ac:dyDescent="0.25"/>
    <row r="2" spans="3:3" x14ac:dyDescent="0.25"/>
    <row r="3" spans="3:3" x14ac:dyDescent="0.25">
      <c r="C3" s="19" t="s">
        <v>1573</v>
      </c>
    </row>
    <row r="4" spans="3:3" x14ac:dyDescent="0.25"/>
    <row r="5" spans="3:3" x14ac:dyDescent="0.25"/>
    <row r="6" spans="3:3" x14ac:dyDescent="0.25"/>
    <row r="7" spans="3:3" x14ac:dyDescent="0.25"/>
    <row r="8" spans="3:3" x14ac:dyDescent="0.25"/>
    <row r="9" spans="3:3" x14ac:dyDescent="0.25"/>
    <row r="10" spans="3:3" x14ac:dyDescent="0.25"/>
    <row r="11" spans="3:3" x14ac:dyDescent="0.25"/>
    <row r="12" spans="3:3" x14ac:dyDescent="0.25"/>
    <row r="13" spans="3:3" x14ac:dyDescent="0.25"/>
    <row r="14" spans="3:3" x14ac:dyDescent="0.25"/>
    <row r="15" spans="3:3" x14ac:dyDescent="0.25"/>
    <row r="16" spans="3:3" x14ac:dyDescent="0.25"/>
    <row r="17" x14ac:dyDescent="0.25"/>
    <row r="18" x14ac:dyDescent="0.25"/>
    <row r="19" x14ac:dyDescent="0.25"/>
    <row r="20" x14ac:dyDescent="0.25"/>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topLeftCell="A5" workbookViewId="0"/>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KPI</vt:lpstr>
      <vt:lpstr>rating</vt:lpstr>
      <vt:lpstr>General</vt:lpstr>
      <vt:lpstr>Education by attrition</vt:lpstr>
      <vt:lpstr>att by job roles</vt:lpstr>
      <vt:lpstr>Department wise attrition</vt:lpstr>
      <vt:lpstr>Attrition by age group</vt:lpstr>
      <vt:lpstr>marital status</vt:lpstr>
      <vt:lpstr>Data</vt:lpstr>
      <vt:lpstr>Dashboard</vt:lpstr>
      <vt:lpstr>Images</vt:lpstr>
      <vt:lpstr>Background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Sanjeeb Sapkota</cp:lastModifiedBy>
  <dcterms:created xsi:type="dcterms:W3CDTF">2022-12-29T16:02:46Z</dcterms:created>
  <dcterms:modified xsi:type="dcterms:W3CDTF">2026-03-15T15:51:53Z</dcterms:modified>
</cp:coreProperties>
</file>